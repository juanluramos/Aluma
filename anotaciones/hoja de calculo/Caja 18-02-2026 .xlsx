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AMOS RUIZ\Documents\UNI\ALVARO\ALUMA\CONTA\PUNTEO ALUMA\2026\"/>
    </mc:Choice>
  </mc:AlternateContent>
  <xr:revisionPtr revIDLastSave="0" documentId="13_ncr:1_{F179A650-2653-4D79-9A37-4757896342CA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DIARIO 2023" sheetId="4" state="hidden" r:id="rId1"/>
    <sheet name="DIARIO 2026" sheetId="8" r:id="rId2"/>
    <sheet name="Hoja1" sheetId="9" state="hidden" r:id="rId3"/>
    <sheet name="SOCIOS" sheetId="5" state="hidden" r:id="rId4"/>
    <sheet name="SOCIO" sheetId="7" r:id="rId5"/>
    <sheet name="RECIBO" sheetId="6" r:id="rId6"/>
    <sheet name="CODIGOS" sheetId="3" r:id="rId7"/>
    <sheet name="FACTURAS" sheetId="10" r:id="rId8"/>
    <sheet name="ACREED" sheetId="11" r:id="rId9"/>
  </sheets>
  <definedNames>
    <definedName name="_xlnm._FilterDatabase" localSheetId="6" hidden="1">CODIGOS!$A$1:$C$1</definedName>
    <definedName name="_xlnm._FilterDatabase" localSheetId="0" hidden="1">'DIARIO 2023'!$A$1:$H$1300</definedName>
    <definedName name="_xlnm._FilterDatabase" localSheetId="1" hidden="1">'DIARIO 2026'!$A$1:$K$599</definedName>
    <definedName name="_xlnm._FilterDatabase" localSheetId="4" hidden="1">SOCIO!$A$1:$D$542</definedName>
    <definedName name="_xlnm._FilterDatabase" localSheetId="3" hidden="1">SOCIOS!$A$1:$C$320</definedName>
    <definedName name="_xlnm.Print_Area" localSheetId="0">'DIARIO 2023'!$A$1154:$H$1156</definedName>
    <definedName name="_xlnm.Print_Area" localSheetId="1">'DIARIO 2026'!$A$1:$J$190</definedName>
    <definedName name="_xlnm.Print_Area" localSheetId="5">RECIBO!$A$1:$C$22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3" i="8" l="1"/>
  <c r="C126" i="8"/>
  <c r="C127" i="8"/>
  <c r="C128" i="8"/>
  <c r="C129" i="8"/>
  <c r="H101" i="8" l="1"/>
  <c r="C49" i="8" l="1"/>
  <c r="C100" i="8" l="1"/>
  <c r="C102" i="8"/>
  <c r="C104" i="8"/>
  <c r="C105" i="8"/>
  <c r="C106" i="8"/>
  <c r="C107" i="8"/>
  <c r="C108" i="8"/>
  <c r="C109" i="8"/>
  <c r="C110" i="8"/>
  <c r="C113" i="8"/>
  <c r="C114" i="8"/>
  <c r="C116" i="8"/>
  <c r="C118" i="8"/>
  <c r="C119" i="8"/>
  <c r="C120" i="8"/>
  <c r="C121" i="8"/>
  <c r="C122" i="8"/>
  <c r="C144" i="8"/>
  <c r="C145" i="8"/>
  <c r="C146" i="8"/>
  <c r="C147" i="8"/>
  <c r="C148" i="8"/>
  <c r="C150" i="8"/>
  <c r="C151" i="8"/>
  <c r="C152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9" i="8"/>
  <c r="C170" i="8"/>
  <c r="C171" i="8"/>
  <c r="C172" i="8"/>
  <c r="C175" i="8"/>
  <c r="C178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F348" i="8"/>
  <c r="F349" i="8"/>
  <c r="F350" i="8"/>
  <c r="F351" i="8"/>
  <c r="F352" i="8"/>
  <c r="F353" i="8"/>
  <c r="F354" i="8"/>
  <c r="F355" i="8"/>
  <c r="F356" i="8"/>
  <c r="F357" i="8"/>
  <c r="F358" i="8"/>
  <c r="F359" i="8"/>
  <c r="F360" i="8"/>
  <c r="F361" i="8"/>
  <c r="F362" i="8"/>
  <c r="F363" i="8"/>
  <c r="F364" i="8"/>
  <c r="F365" i="8"/>
  <c r="F366" i="8"/>
  <c r="F367" i="8"/>
  <c r="F368" i="8"/>
  <c r="F369" i="8"/>
  <c r="F370" i="8"/>
  <c r="F371" i="8"/>
  <c r="F372" i="8"/>
  <c r="F373" i="8"/>
  <c r="F374" i="8"/>
  <c r="F375" i="8"/>
  <c r="F376" i="8"/>
  <c r="F377" i="8"/>
  <c r="F378" i="8"/>
  <c r="F379" i="8"/>
  <c r="F380" i="8"/>
  <c r="F381" i="8"/>
  <c r="F382" i="8"/>
  <c r="F383" i="8"/>
  <c r="F384" i="8"/>
  <c r="F385" i="8"/>
  <c r="F386" i="8"/>
  <c r="F387" i="8"/>
  <c r="F388" i="8"/>
  <c r="F389" i="8"/>
  <c r="F390" i="8"/>
  <c r="F391" i="8"/>
  <c r="F392" i="8"/>
  <c r="F393" i="8"/>
  <c r="F394" i="8"/>
  <c r="F395" i="8"/>
  <c r="F396" i="8"/>
  <c r="F397" i="8"/>
  <c r="F398" i="8"/>
  <c r="F399" i="8"/>
  <c r="F400" i="8"/>
  <c r="F401" i="8"/>
  <c r="F402" i="8"/>
  <c r="F403" i="8"/>
  <c r="F404" i="8"/>
  <c r="F405" i="8"/>
  <c r="F406" i="8"/>
  <c r="F407" i="8"/>
  <c r="F408" i="8"/>
  <c r="F409" i="8"/>
  <c r="F410" i="8"/>
  <c r="F411" i="8"/>
  <c r="F412" i="8"/>
  <c r="F413" i="8"/>
  <c r="F414" i="8"/>
  <c r="F415" i="8"/>
  <c r="F416" i="8"/>
  <c r="F417" i="8"/>
  <c r="F418" i="8"/>
  <c r="F419" i="8"/>
  <c r="F420" i="8"/>
  <c r="F421" i="8"/>
  <c r="F422" i="8"/>
  <c r="F423" i="8"/>
  <c r="F424" i="8"/>
  <c r="F425" i="8"/>
  <c r="F426" i="8"/>
  <c r="F427" i="8"/>
  <c r="F428" i="8"/>
  <c r="F429" i="8"/>
  <c r="F430" i="8"/>
  <c r="F431" i="8"/>
  <c r="F432" i="8"/>
  <c r="F433" i="8"/>
  <c r="F434" i="8"/>
  <c r="F435" i="8"/>
  <c r="F436" i="8"/>
  <c r="F437" i="8"/>
  <c r="F438" i="8"/>
  <c r="F439" i="8"/>
  <c r="F440" i="8"/>
  <c r="F441" i="8"/>
  <c r="F442" i="8"/>
  <c r="F443" i="8"/>
  <c r="F444" i="8"/>
  <c r="F445" i="8"/>
  <c r="F446" i="8"/>
  <c r="F447" i="8"/>
  <c r="F448" i="8"/>
  <c r="F449" i="8"/>
  <c r="F450" i="8"/>
  <c r="F451" i="8"/>
  <c r="F452" i="8"/>
  <c r="F453" i="8"/>
  <c r="F454" i="8"/>
  <c r="F455" i="8"/>
  <c r="F456" i="8"/>
  <c r="F457" i="8"/>
  <c r="F458" i="8"/>
  <c r="F459" i="8"/>
  <c r="F460" i="8"/>
  <c r="F461" i="8"/>
  <c r="F462" i="8"/>
  <c r="F463" i="8"/>
  <c r="F464" i="8"/>
  <c r="F465" i="8"/>
  <c r="F466" i="8"/>
  <c r="F467" i="8"/>
  <c r="F468" i="8"/>
  <c r="F469" i="8"/>
  <c r="F470" i="8"/>
  <c r="F471" i="8"/>
  <c r="F472" i="8"/>
  <c r="F473" i="8"/>
  <c r="F474" i="8"/>
  <c r="F475" i="8"/>
  <c r="F476" i="8"/>
  <c r="F477" i="8"/>
  <c r="F478" i="8"/>
  <c r="F479" i="8"/>
  <c r="F480" i="8"/>
  <c r="F481" i="8"/>
  <c r="F482" i="8"/>
  <c r="F483" i="8"/>
  <c r="F484" i="8"/>
  <c r="F485" i="8"/>
  <c r="F486" i="8"/>
  <c r="F487" i="8"/>
  <c r="F488" i="8"/>
  <c r="F489" i="8"/>
  <c r="F490" i="8"/>
  <c r="F491" i="8"/>
  <c r="F492" i="8"/>
  <c r="F493" i="8"/>
  <c r="F494" i="8"/>
  <c r="F495" i="8"/>
  <c r="F496" i="8"/>
  <c r="F497" i="8"/>
  <c r="F498" i="8"/>
  <c r="F499" i="8"/>
  <c r="F500" i="8"/>
  <c r="F501" i="8"/>
  <c r="F502" i="8"/>
  <c r="F503" i="8"/>
  <c r="F504" i="8"/>
  <c r="F505" i="8"/>
  <c r="F506" i="8"/>
  <c r="F507" i="8"/>
  <c r="F508" i="8"/>
  <c r="F509" i="8"/>
  <c r="F510" i="8"/>
  <c r="F511" i="8"/>
  <c r="F512" i="8"/>
  <c r="F513" i="8"/>
  <c r="F514" i="8"/>
  <c r="F515" i="8"/>
  <c r="F516" i="8"/>
  <c r="F517" i="8"/>
  <c r="F518" i="8"/>
  <c r="F519" i="8"/>
  <c r="F520" i="8"/>
  <c r="F521" i="8"/>
  <c r="F522" i="8"/>
  <c r="F523" i="8"/>
  <c r="F524" i="8"/>
  <c r="F525" i="8"/>
  <c r="F526" i="8"/>
  <c r="F527" i="8"/>
  <c r="F528" i="8"/>
  <c r="F529" i="8"/>
  <c r="F530" i="8"/>
  <c r="F531" i="8"/>
  <c r="F532" i="8"/>
  <c r="F533" i="8"/>
  <c r="F534" i="8"/>
  <c r="F535" i="8"/>
  <c r="F536" i="8"/>
  <c r="F537" i="8"/>
  <c r="F538" i="8"/>
  <c r="F539" i="8"/>
  <c r="F540" i="8"/>
  <c r="F541" i="8"/>
  <c r="F542" i="8"/>
  <c r="F543" i="8"/>
  <c r="F544" i="8"/>
  <c r="F545" i="8"/>
  <c r="F546" i="8"/>
  <c r="F547" i="8"/>
  <c r="F548" i="8"/>
  <c r="F549" i="8"/>
  <c r="F550" i="8"/>
  <c r="F551" i="8"/>
  <c r="F552" i="8"/>
  <c r="F553" i="8"/>
  <c r="F554" i="8"/>
  <c r="F555" i="8"/>
  <c r="F556" i="8"/>
  <c r="F557" i="8"/>
  <c r="F558" i="8"/>
  <c r="F559" i="8"/>
  <c r="F560" i="8"/>
  <c r="F561" i="8"/>
  <c r="F562" i="8"/>
  <c r="F563" i="8"/>
  <c r="F564" i="8"/>
  <c r="F565" i="8"/>
  <c r="F566" i="8"/>
  <c r="F567" i="8"/>
  <c r="F568" i="8"/>
  <c r="F569" i="8"/>
  <c r="F570" i="8"/>
  <c r="F571" i="8"/>
  <c r="F572" i="8"/>
  <c r="F573" i="8"/>
  <c r="F574" i="8"/>
  <c r="F575" i="8"/>
  <c r="F576" i="8"/>
  <c r="F577" i="8"/>
  <c r="F578" i="8"/>
  <c r="F579" i="8"/>
  <c r="F580" i="8"/>
  <c r="F581" i="8"/>
  <c r="F582" i="8"/>
  <c r="F583" i="8"/>
  <c r="F584" i="8"/>
  <c r="F585" i="8"/>
  <c r="F586" i="8"/>
  <c r="F587" i="8"/>
  <c r="F588" i="8"/>
  <c r="F589" i="8"/>
  <c r="F590" i="8"/>
  <c r="F591" i="8"/>
  <c r="F592" i="8"/>
  <c r="F593" i="8"/>
  <c r="F594" i="8"/>
  <c r="F595" i="8"/>
  <c r="F596" i="8"/>
  <c r="F597" i="8"/>
  <c r="F598" i="8"/>
  <c r="J4" i="8"/>
  <c r="H4" i="8" s="1"/>
  <c r="J5" i="8"/>
  <c r="H5" i="8" s="1"/>
  <c r="J6" i="8"/>
  <c r="H6" i="8" s="1"/>
  <c r="J7" i="8"/>
  <c r="H7" i="8" s="1"/>
  <c r="H599" i="8"/>
  <c r="J8" i="8"/>
  <c r="H8" i="8" s="1"/>
  <c r="J9" i="8"/>
  <c r="H9" i="8" s="1"/>
  <c r="J10" i="8"/>
  <c r="H10" i="8" s="1"/>
  <c r="J11" i="8"/>
  <c r="H11" i="8" s="1"/>
  <c r="J12" i="8"/>
  <c r="H12" i="8" s="1"/>
  <c r="J13" i="8"/>
  <c r="J14" i="8"/>
  <c r="H14" i="8" s="1"/>
  <c r="J15" i="8"/>
  <c r="H15" i="8" s="1"/>
  <c r="J16" i="8"/>
  <c r="H16" i="8" s="1"/>
  <c r="J17" i="8"/>
  <c r="H17" i="8" s="1"/>
  <c r="J18" i="8"/>
  <c r="H18" i="8" s="1"/>
  <c r="J19" i="8"/>
  <c r="J20" i="8"/>
  <c r="H20" i="8" s="1"/>
  <c r="J21" i="8"/>
  <c r="H21" i="8" s="1"/>
  <c r="J22" i="8"/>
  <c r="H22" i="8" s="1"/>
  <c r="J23" i="8"/>
  <c r="H23" i="8" s="1"/>
  <c r="J24" i="8"/>
  <c r="H24" i="8" s="1"/>
  <c r="J25" i="8"/>
  <c r="H25" i="8" s="1"/>
  <c r="J26" i="8"/>
  <c r="H26" i="8" s="1"/>
  <c r="J27" i="8"/>
  <c r="H27" i="8" s="1"/>
  <c r="J28" i="8"/>
  <c r="H28" i="8" s="1"/>
  <c r="J29" i="8"/>
  <c r="H29" i="8" s="1"/>
  <c r="J30" i="8"/>
  <c r="H30" i="8" s="1"/>
  <c r="J31" i="8"/>
  <c r="H31" i="8" s="1"/>
  <c r="J32" i="8"/>
  <c r="H32" i="8" s="1"/>
  <c r="J33" i="8"/>
  <c r="H33" i="8" s="1"/>
  <c r="J35" i="8"/>
  <c r="H35" i="8" s="1"/>
  <c r="J36" i="8"/>
  <c r="H36" i="8" s="1"/>
  <c r="J37" i="8"/>
  <c r="H37" i="8" s="1"/>
  <c r="J38" i="8"/>
  <c r="H38" i="8" s="1"/>
  <c r="J39" i="8"/>
  <c r="H39" i="8" s="1"/>
  <c r="J40" i="8"/>
  <c r="H40" i="8" s="1"/>
  <c r="J41" i="8"/>
  <c r="H41" i="8" s="1"/>
  <c r="J42" i="8"/>
  <c r="H42" i="8" s="1"/>
  <c r="J43" i="8"/>
  <c r="J44" i="8"/>
  <c r="H44" i="8" s="1"/>
  <c r="J45" i="8"/>
  <c r="H45" i="8" s="1"/>
  <c r="J46" i="8"/>
  <c r="H46" i="8" s="1"/>
  <c r="J49" i="8"/>
  <c r="J50" i="8"/>
  <c r="J51" i="8"/>
  <c r="J52" i="8"/>
  <c r="H52" i="8" s="1"/>
  <c r="J53" i="8"/>
  <c r="H53" i="8" s="1"/>
  <c r="J54" i="8"/>
  <c r="H54" i="8" s="1"/>
  <c r="J55" i="8"/>
  <c r="H55" i="8" s="1"/>
  <c r="J56" i="8"/>
  <c r="H56" i="8" s="1"/>
  <c r="J57" i="8"/>
  <c r="H57" i="8" s="1"/>
  <c r="J58" i="8"/>
  <c r="H58" i="8" s="1"/>
  <c r="J59" i="8"/>
  <c r="H59" i="8" s="1"/>
  <c r="J60" i="8"/>
  <c r="H60" i="8" s="1"/>
  <c r="J61" i="8"/>
  <c r="H61" i="8" s="1"/>
  <c r="J62" i="8"/>
  <c r="H62" i="8" s="1"/>
  <c r="J63" i="8"/>
  <c r="H63" i="8" s="1"/>
  <c r="J64" i="8"/>
  <c r="H64" i="8" s="1"/>
  <c r="J65" i="8"/>
  <c r="H65" i="8" s="1"/>
  <c r="J66" i="8"/>
  <c r="H66" i="8" s="1"/>
  <c r="J67" i="8"/>
  <c r="H67" i="8" s="1"/>
  <c r="J69" i="8"/>
  <c r="H69" i="8" s="1"/>
  <c r="J70" i="8"/>
  <c r="H70" i="8" s="1"/>
  <c r="J71" i="8"/>
  <c r="H71" i="8" s="1"/>
  <c r="J72" i="8"/>
  <c r="H72" i="8" s="1"/>
  <c r="J73" i="8"/>
  <c r="H73" i="8" s="1"/>
  <c r="J74" i="8"/>
  <c r="H74" i="8" s="1"/>
  <c r="J75" i="8"/>
  <c r="H75" i="8" s="1"/>
  <c r="J76" i="8"/>
  <c r="H76" i="8" s="1"/>
  <c r="J77" i="8"/>
  <c r="H77" i="8" s="1"/>
  <c r="J78" i="8"/>
  <c r="H78" i="8" s="1"/>
  <c r="J79" i="8"/>
  <c r="J80" i="8"/>
  <c r="J81" i="8"/>
  <c r="J82" i="8"/>
  <c r="J83" i="8"/>
  <c r="J84" i="8"/>
  <c r="J85" i="8"/>
  <c r="H85" i="8" s="1"/>
  <c r="J86" i="8"/>
  <c r="H86" i="8" s="1"/>
  <c r="J87" i="8"/>
  <c r="H87" i="8" s="1"/>
  <c r="J88" i="8"/>
  <c r="H88" i="8" s="1"/>
  <c r="J89" i="8"/>
  <c r="H89" i="8" s="1"/>
  <c r="J90" i="8"/>
  <c r="H90" i="8" s="1"/>
  <c r="J91" i="8"/>
  <c r="H91" i="8" s="1"/>
  <c r="J92" i="8"/>
  <c r="H92" i="8" s="1"/>
  <c r="J93" i="8"/>
  <c r="H93" i="8" s="1"/>
  <c r="J94" i="8"/>
  <c r="H94" i="8" s="1"/>
  <c r="J95" i="8"/>
  <c r="H95" i="8" s="1"/>
  <c r="J96" i="8"/>
  <c r="J97" i="8"/>
  <c r="H97" i="8" s="1"/>
  <c r="J98" i="8"/>
  <c r="H98" i="8" s="1"/>
  <c r="J99" i="8"/>
  <c r="H99" i="8" s="1"/>
  <c r="J100" i="8"/>
  <c r="H100" i="8" s="1"/>
  <c r="J101" i="8"/>
  <c r="J102" i="8"/>
  <c r="J103" i="8"/>
  <c r="J104" i="8"/>
  <c r="H104" i="8" s="1"/>
  <c r="J105" i="8"/>
  <c r="H105" i="8" s="1"/>
  <c r="J106" i="8"/>
  <c r="H106" i="8" s="1"/>
  <c r="J107" i="8"/>
  <c r="H107" i="8" s="1"/>
  <c r="J108" i="8"/>
  <c r="H108" i="8" s="1"/>
  <c r="J109" i="8"/>
  <c r="H109" i="8" s="1"/>
  <c r="J110" i="8"/>
  <c r="H110" i="8" s="1"/>
  <c r="J111" i="8"/>
  <c r="H111" i="8" s="1"/>
  <c r="J112" i="8"/>
  <c r="H112" i="8" s="1"/>
  <c r="J113" i="8"/>
  <c r="H113" i="8" s="1"/>
  <c r="J114" i="8"/>
  <c r="H114" i="8" s="1"/>
  <c r="J115" i="8"/>
  <c r="H115" i="8" s="1"/>
  <c r="J116" i="8"/>
  <c r="H116" i="8" s="1"/>
  <c r="J117" i="8"/>
  <c r="H117" i="8" s="1"/>
  <c r="J118" i="8"/>
  <c r="J119" i="8"/>
  <c r="J120" i="8"/>
  <c r="J121" i="8"/>
  <c r="H121" i="8" s="1"/>
  <c r="J122" i="8"/>
  <c r="H122" i="8" s="1"/>
  <c r="J123" i="8"/>
  <c r="H123" i="8" s="1"/>
  <c r="J124" i="8"/>
  <c r="H124" i="8" s="1"/>
  <c r="J125" i="8"/>
  <c r="H125" i="8" s="1"/>
  <c r="J128" i="8"/>
  <c r="H128" i="8" s="1"/>
  <c r="J129" i="8"/>
  <c r="H129" i="8" s="1"/>
  <c r="J132" i="8"/>
  <c r="H132" i="8" s="1"/>
  <c r="J133" i="8"/>
  <c r="H133" i="8" s="1"/>
  <c r="J134" i="8"/>
  <c r="H134" i="8" s="1"/>
  <c r="J135" i="8"/>
  <c r="H135" i="8" s="1"/>
  <c r="J136" i="8"/>
  <c r="H136" i="8" s="1"/>
  <c r="J137" i="8"/>
  <c r="H137" i="8" s="1"/>
  <c r="J138" i="8"/>
  <c r="H138" i="8" s="1"/>
  <c r="J139" i="8"/>
  <c r="H139" i="8" s="1"/>
  <c r="J140" i="8"/>
  <c r="J141" i="8"/>
  <c r="H141" i="8" s="1"/>
  <c r="J142" i="8"/>
  <c r="H142" i="8" s="1"/>
  <c r="J144" i="8"/>
  <c r="H144" i="8" s="1"/>
  <c r="J145" i="8"/>
  <c r="H145" i="8" s="1"/>
  <c r="J146" i="8"/>
  <c r="H146" i="8" s="1"/>
  <c r="J147" i="8"/>
  <c r="H147" i="8" s="1"/>
  <c r="J148" i="8"/>
  <c r="H148" i="8" s="1"/>
  <c r="J150" i="8"/>
  <c r="H150" i="8" s="1"/>
  <c r="J151" i="8"/>
  <c r="H151" i="8" s="1"/>
  <c r="J152" i="8"/>
  <c r="H152" i="8" s="1"/>
  <c r="J153" i="8"/>
  <c r="H153" i="8" s="1"/>
  <c r="J154" i="8"/>
  <c r="H154" i="8" s="1"/>
  <c r="J155" i="8"/>
  <c r="H155" i="8" s="1"/>
  <c r="J156" i="8"/>
  <c r="H156" i="8" s="1"/>
  <c r="J157" i="8"/>
  <c r="H157" i="8" s="1"/>
  <c r="J158" i="8"/>
  <c r="H158" i="8" s="1"/>
  <c r="J159" i="8"/>
  <c r="H159" i="8" s="1"/>
  <c r="J160" i="8"/>
  <c r="H160" i="8" s="1"/>
  <c r="J161" i="8"/>
  <c r="H161" i="8" s="1"/>
  <c r="J162" i="8"/>
  <c r="H162" i="8" s="1"/>
  <c r="J163" i="8"/>
  <c r="H163" i="8" s="1"/>
  <c r="J164" i="8"/>
  <c r="H164" i="8" s="1"/>
  <c r="J165" i="8"/>
  <c r="H165" i="8" s="1"/>
  <c r="J166" i="8"/>
  <c r="H166" i="8" s="1"/>
  <c r="J167" i="8"/>
  <c r="H167" i="8" s="1"/>
  <c r="J168" i="8"/>
  <c r="H168" i="8" s="1"/>
  <c r="J169" i="8"/>
  <c r="H169" i="8" s="1"/>
  <c r="J170" i="8"/>
  <c r="H170" i="8" s="1"/>
  <c r="J171" i="8"/>
  <c r="H171" i="8" s="1"/>
  <c r="J172" i="8"/>
  <c r="H172" i="8" s="1"/>
  <c r="J175" i="8"/>
  <c r="H175" i="8" s="1"/>
  <c r="J176" i="8"/>
  <c r="H176" i="8" s="1"/>
  <c r="J177" i="8"/>
  <c r="H177" i="8" s="1"/>
  <c r="J178" i="8"/>
  <c r="H178" i="8" s="1"/>
  <c r="J180" i="8"/>
  <c r="H180" i="8" s="1"/>
  <c r="J181" i="8"/>
  <c r="H181" i="8" s="1"/>
  <c r="J182" i="8"/>
  <c r="H182" i="8" s="1"/>
  <c r="J183" i="8"/>
  <c r="H183" i="8" s="1"/>
  <c r="J184" i="8"/>
  <c r="H184" i="8" s="1"/>
  <c r="J185" i="8"/>
  <c r="H185" i="8" s="1"/>
  <c r="J186" i="8"/>
  <c r="H186" i="8" s="1"/>
  <c r="J187" i="8"/>
  <c r="H187" i="8" s="1"/>
  <c r="J188" i="8"/>
  <c r="H188" i="8" s="1"/>
  <c r="J189" i="8"/>
  <c r="H189" i="8" s="1"/>
  <c r="J190" i="8"/>
  <c r="H190" i="8" s="1"/>
  <c r="J191" i="8"/>
  <c r="H191" i="8" s="1"/>
  <c r="J192" i="8"/>
  <c r="H192" i="8" s="1"/>
  <c r="J193" i="8"/>
  <c r="H193" i="8" s="1"/>
  <c r="J194" i="8"/>
  <c r="H194" i="8" s="1"/>
  <c r="J195" i="8"/>
  <c r="H195" i="8" s="1"/>
  <c r="J196" i="8"/>
  <c r="H196" i="8" s="1"/>
  <c r="J197" i="8"/>
  <c r="H197" i="8" s="1"/>
  <c r="J198" i="8"/>
  <c r="H198" i="8" s="1"/>
  <c r="J199" i="8"/>
  <c r="H199" i="8" s="1"/>
  <c r="J200" i="8"/>
  <c r="H200" i="8" s="1"/>
  <c r="J201" i="8"/>
  <c r="H201" i="8" s="1"/>
  <c r="J202" i="8"/>
  <c r="H202" i="8" s="1"/>
  <c r="J203" i="8"/>
  <c r="H203" i="8" s="1"/>
  <c r="J204" i="8"/>
  <c r="H204" i="8" s="1"/>
  <c r="J205" i="8"/>
  <c r="H205" i="8" s="1"/>
  <c r="J206" i="8"/>
  <c r="H206" i="8" s="1"/>
  <c r="J207" i="8"/>
  <c r="H207" i="8" s="1"/>
  <c r="J208" i="8"/>
  <c r="H208" i="8" s="1"/>
  <c r="J209" i="8"/>
  <c r="H209" i="8" s="1"/>
  <c r="J210" i="8"/>
  <c r="H210" i="8" s="1"/>
  <c r="J211" i="8"/>
  <c r="H211" i="8" s="1"/>
  <c r="J212" i="8"/>
  <c r="H212" i="8" s="1"/>
  <c r="J213" i="8"/>
  <c r="H213" i="8" s="1"/>
  <c r="J214" i="8"/>
  <c r="H214" i="8" s="1"/>
  <c r="J215" i="8"/>
  <c r="H215" i="8" s="1"/>
  <c r="J216" i="8"/>
  <c r="H216" i="8" s="1"/>
  <c r="J217" i="8"/>
  <c r="H217" i="8" s="1"/>
  <c r="J218" i="8"/>
  <c r="H218" i="8" s="1"/>
  <c r="J219" i="8"/>
  <c r="H219" i="8" s="1"/>
  <c r="J220" i="8"/>
  <c r="H220" i="8" s="1"/>
  <c r="J221" i="8"/>
  <c r="H221" i="8" s="1"/>
  <c r="J222" i="8"/>
  <c r="H222" i="8" s="1"/>
  <c r="J223" i="8"/>
  <c r="H223" i="8" s="1"/>
  <c r="J224" i="8"/>
  <c r="H224" i="8" s="1"/>
  <c r="J225" i="8"/>
  <c r="H225" i="8" s="1"/>
  <c r="J226" i="8"/>
  <c r="H226" i="8" s="1"/>
  <c r="J227" i="8"/>
  <c r="H227" i="8" s="1"/>
  <c r="J228" i="8"/>
  <c r="H228" i="8" s="1"/>
  <c r="J229" i="8"/>
  <c r="H229" i="8" s="1"/>
  <c r="J230" i="8"/>
  <c r="H230" i="8" s="1"/>
  <c r="J231" i="8"/>
  <c r="H231" i="8" s="1"/>
  <c r="J232" i="8"/>
  <c r="H232" i="8" s="1"/>
  <c r="J233" i="8"/>
  <c r="H233" i="8" s="1"/>
  <c r="J234" i="8"/>
  <c r="H234" i="8" s="1"/>
  <c r="J235" i="8"/>
  <c r="H235" i="8" s="1"/>
  <c r="J236" i="8"/>
  <c r="H236" i="8" s="1"/>
  <c r="J237" i="8"/>
  <c r="H237" i="8" s="1"/>
  <c r="J238" i="8"/>
  <c r="H238" i="8" s="1"/>
  <c r="J239" i="8"/>
  <c r="H239" i="8" s="1"/>
  <c r="J240" i="8"/>
  <c r="H240" i="8" s="1"/>
  <c r="J241" i="8"/>
  <c r="H241" i="8" s="1"/>
  <c r="J242" i="8"/>
  <c r="H242" i="8" s="1"/>
  <c r="J243" i="8"/>
  <c r="H243" i="8" s="1"/>
  <c r="J244" i="8"/>
  <c r="H244" i="8" s="1"/>
  <c r="J245" i="8"/>
  <c r="H245" i="8" s="1"/>
  <c r="J246" i="8"/>
  <c r="H246" i="8" s="1"/>
  <c r="J247" i="8"/>
  <c r="H247" i="8" s="1"/>
  <c r="J248" i="8"/>
  <c r="H248" i="8" s="1"/>
  <c r="J249" i="8"/>
  <c r="H249" i="8" s="1"/>
  <c r="J250" i="8"/>
  <c r="H250" i="8" s="1"/>
  <c r="J251" i="8"/>
  <c r="H251" i="8" s="1"/>
  <c r="J252" i="8"/>
  <c r="H252" i="8" s="1"/>
  <c r="J253" i="8"/>
  <c r="H253" i="8" s="1"/>
  <c r="J254" i="8"/>
  <c r="H254" i="8" s="1"/>
  <c r="J255" i="8"/>
  <c r="H255" i="8" s="1"/>
  <c r="J256" i="8"/>
  <c r="H256" i="8" s="1"/>
  <c r="J257" i="8"/>
  <c r="H257" i="8" s="1"/>
  <c r="J258" i="8"/>
  <c r="H258" i="8" s="1"/>
  <c r="J259" i="8"/>
  <c r="H259" i="8" s="1"/>
  <c r="J260" i="8"/>
  <c r="H260" i="8" s="1"/>
  <c r="J261" i="8"/>
  <c r="H261" i="8" s="1"/>
  <c r="J262" i="8"/>
  <c r="H262" i="8" s="1"/>
  <c r="J263" i="8"/>
  <c r="H263" i="8" s="1"/>
  <c r="J264" i="8"/>
  <c r="H264" i="8" s="1"/>
  <c r="J265" i="8"/>
  <c r="H265" i="8" s="1"/>
  <c r="J266" i="8"/>
  <c r="H266" i="8" s="1"/>
  <c r="J267" i="8"/>
  <c r="H267" i="8" s="1"/>
  <c r="J268" i="8"/>
  <c r="H268" i="8" s="1"/>
  <c r="J269" i="8"/>
  <c r="H269" i="8" s="1"/>
  <c r="J270" i="8"/>
  <c r="H270" i="8" s="1"/>
  <c r="J271" i="8"/>
  <c r="H271" i="8" s="1"/>
  <c r="J272" i="8"/>
  <c r="H272" i="8" s="1"/>
  <c r="J273" i="8"/>
  <c r="H273" i="8" s="1"/>
  <c r="J274" i="8"/>
  <c r="H274" i="8" s="1"/>
  <c r="J275" i="8"/>
  <c r="H275" i="8" s="1"/>
  <c r="J276" i="8"/>
  <c r="H276" i="8" s="1"/>
  <c r="J277" i="8"/>
  <c r="H277" i="8" s="1"/>
  <c r="J278" i="8"/>
  <c r="H278" i="8" s="1"/>
  <c r="J279" i="8"/>
  <c r="H279" i="8" s="1"/>
  <c r="J280" i="8"/>
  <c r="H280" i="8" s="1"/>
  <c r="J281" i="8"/>
  <c r="H281" i="8" s="1"/>
  <c r="J282" i="8"/>
  <c r="H282" i="8" s="1"/>
  <c r="J283" i="8"/>
  <c r="H283" i="8" s="1"/>
  <c r="J284" i="8"/>
  <c r="H284" i="8" s="1"/>
  <c r="J285" i="8"/>
  <c r="H285" i="8" s="1"/>
  <c r="J286" i="8"/>
  <c r="H286" i="8" s="1"/>
  <c r="J287" i="8"/>
  <c r="H287" i="8" s="1"/>
  <c r="J288" i="8"/>
  <c r="H288" i="8" s="1"/>
  <c r="J289" i="8"/>
  <c r="H289" i="8" s="1"/>
  <c r="J290" i="8"/>
  <c r="H290" i="8" s="1"/>
  <c r="J291" i="8"/>
  <c r="H291" i="8" s="1"/>
  <c r="J292" i="8"/>
  <c r="H292" i="8" s="1"/>
  <c r="J293" i="8"/>
  <c r="H293" i="8" s="1"/>
  <c r="J294" i="8"/>
  <c r="H294" i="8" s="1"/>
  <c r="J295" i="8"/>
  <c r="H295" i="8" s="1"/>
  <c r="J296" i="8"/>
  <c r="H296" i="8" s="1"/>
  <c r="J297" i="8"/>
  <c r="H297" i="8" s="1"/>
  <c r="J298" i="8"/>
  <c r="H298" i="8" s="1"/>
  <c r="J299" i="8"/>
  <c r="H299" i="8" s="1"/>
  <c r="J300" i="8"/>
  <c r="H300" i="8" s="1"/>
  <c r="J301" i="8"/>
  <c r="H301" i="8" s="1"/>
  <c r="J302" i="8"/>
  <c r="H302" i="8" s="1"/>
  <c r="J303" i="8"/>
  <c r="H303" i="8" s="1"/>
  <c r="J304" i="8"/>
  <c r="H304" i="8" s="1"/>
  <c r="J305" i="8"/>
  <c r="H305" i="8" s="1"/>
  <c r="J306" i="8"/>
  <c r="H306" i="8" s="1"/>
  <c r="J307" i="8"/>
  <c r="H307" i="8" s="1"/>
  <c r="J308" i="8"/>
  <c r="H308" i="8" s="1"/>
  <c r="J309" i="8"/>
  <c r="H309" i="8" s="1"/>
  <c r="J310" i="8"/>
  <c r="H310" i="8" s="1"/>
  <c r="J311" i="8"/>
  <c r="H311" i="8" s="1"/>
  <c r="J312" i="8"/>
  <c r="H312" i="8" s="1"/>
  <c r="J313" i="8"/>
  <c r="H313" i="8" s="1"/>
  <c r="J314" i="8"/>
  <c r="H314" i="8" s="1"/>
  <c r="J315" i="8"/>
  <c r="H315" i="8" s="1"/>
  <c r="J316" i="8"/>
  <c r="H316" i="8" s="1"/>
  <c r="J317" i="8"/>
  <c r="H317" i="8" s="1"/>
  <c r="J318" i="8"/>
  <c r="H318" i="8" s="1"/>
  <c r="J319" i="8"/>
  <c r="H319" i="8" s="1"/>
  <c r="J320" i="8"/>
  <c r="H320" i="8" s="1"/>
  <c r="J321" i="8"/>
  <c r="H321" i="8" s="1"/>
  <c r="J322" i="8"/>
  <c r="H322" i="8" s="1"/>
  <c r="J323" i="8"/>
  <c r="H323" i="8" s="1"/>
  <c r="J324" i="8"/>
  <c r="H324" i="8" s="1"/>
  <c r="J325" i="8"/>
  <c r="H325" i="8" s="1"/>
  <c r="J326" i="8"/>
  <c r="H326" i="8" s="1"/>
  <c r="J327" i="8"/>
  <c r="H327" i="8" s="1"/>
  <c r="J328" i="8"/>
  <c r="H328" i="8" s="1"/>
  <c r="J329" i="8"/>
  <c r="H329" i="8" s="1"/>
  <c r="J330" i="8"/>
  <c r="H330" i="8" s="1"/>
  <c r="J331" i="8"/>
  <c r="H331" i="8" s="1"/>
  <c r="J332" i="8"/>
  <c r="H332" i="8" s="1"/>
  <c r="J333" i="8"/>
  <c r="H333" i="8" s="1"/>
  <c r="J334" i="8"/>
  <c r="H334" i="8" s="1"/>
  <c r="J335" i="8"/>
  <c r="H335" i="8" s="1"/>
  <c r="J336" i="8"/>
  <c r="H336" i="8" s="1"/>
  <c r="J337" i="8"/>
  <c r="H337" i="8" s="1"/>
  <c r="J338" i="8"/>
  <c r="H338" i="8" s="1"/>
  <c r="J339" i="8"/>
  <c r="H339" i="8" s="1"/>
  <c r="J340" i="8"/>
  <c r="H340" i="8" s="1"/>
  <c r="J341" i="8"/>
  <c r="H341" i="8" s="1"/>
  <c r="J342" i="8"/>
  <c r="H342" i="8" s="1"/>
  <c r="J343" i="8"/>
  <c r="H343" i="8" s="1"/>
  <c r="J344" i="8"/>
  <c r="H344" i="8" s="1"/>
  <c r="J345" i="8"/>
  <c r="H345" i="8" s="1"/>
  <c r="J346" i="8"/>
  <c r="H346" i="8" s="1"/>
  <c r="J347" i="8"/>
  <c r="H347" i="8" s="1"/>
  <c r="J348" i="8"/>
  <c r="H348" i="8" s="1"/>
  <c r="J349" i="8"/>
  <c r="H349" i="8" s="1"/>
  <c r="J350" i="8"/>
  <c r="H350" i="8" s="1"/>
  <c r="J351" i="8"/>
  <c r="H351" i="8" s="1"/>
  <c r="J352" i="8"/>
  <c r="H352" i="8" s="1"/>
  <c r="J353" i="8"/>
  <c r="H353" i="8" s="1"/>
  <c r="J354" i="8"/>
  <c r="H354" i="8" s="1"/>
  <c r="J355" i="8"/>
  <c r="H355" i="8" s="1"/>
  <c r="J356" i="8"/>
  <c r="H356" i="8" s="1"/>
  <c r="J357" i="8"/>
  <c r="H357" i="8" s="1"/>
  <c r="J358" i="8"/>
  <c r="H358" i="8" s="1"/>
  <c r="J359" i="8"/>
  <c r="H359" i="8" s="1"/>
  <c r="J360" i="8"/>
  <c r="H360" i="8" s="1"/>
  <c r="J361" i="8"/>
  <c r="H361" i="8" s="1"/>
  <c r="J362" i="8"/>
  <c r="H362" i="8" s="1"/>
  <c r="J363" i="8"/>
  <c r="H363" i="8" s="1"/>
  <c r="J364" i="8"/>
  <c r="H364" i="8" s="1"/>
  <c r="J365" i="8"/>
  <c r="H365" i="8" s="1"/>
  <c r="J366" i="8"/>
  <c r="H366" i="8" s="1"/>
  <c r="J367" i="8"/>
  <c r="H367" i="8" s="1"/>
  <c r="J368" i="8"/>
  <c r="H368" i="8" s="1"/>
  <c r="J369" i="8"/>
  <c r="H369" i="8" s="1"/>
  <c r="J370" i="8"/>
  <c r="H370" i="8" s="1"/>
  <c r="J371" i="8"/>
  <c r="H371" i="8" s="1"/>
  <c r="J372" i="8"/>
  <c r="H372" i="8" s="1"/>
  <c r="J373" i="8"/>
  <c r="H373" i="8" s="1"/>
  <c r="J374" i="8"/>
  <c r="H374" i="8" s="1"/>
  <c r="J375" i="8"/>
  <c r="H375" i="8" s="1"/>
  <c r="J376" i="8"/>
  <c r="H376" i="8" s="1"/>
  <c r="J377" i="8"/>
  <c r="H377" i="8" s="1"/>
  <c r="J378" i="8"/>
  <c r="H378" i="8" s="1"/>
  <c r="J379" i="8"/>
  <c r="H379" i="8" s="1"/>
  <c r="J380" i="8"/>
  <c r="H380" i="8" s="1"/>
  <c r="J381" i="8"/>
  <c r="H381" i="8" s="1"/>
  <c r="J382" i="8"/>
  <c r="H382" i="8" s="1"/>
  <c r="J383" i="8"/>
  <c r="H383" i="8" s="1"/>
  <c r="J384" i="8"/>
  <c r="H384" i="8" s="1"/>
  <c r="J385" i="8"/>
  <c r="H385" i="8" s="1"/>
  <c r="J386" i="8"/>
  <c r="H386" i="8" s="1"/>
  <c r="J387" i="8"/>
  <c r="H387" i="8" s="1"/>
  <c r="J388" i="8"/>
  <c r="H388" i="8" s="1"/>
  <c r="J389" i="8"/>
  <c r="H389" i="8" s="1"/>
  <c r="J390" i="8"/>
  <c r="H390" i="8" s="1"/>
  <c r="J391" i="8"/>
  <c r="H391" i="8" s="1"/>
  <c r="J392" i="8"/>
  <c r="H392" i="8" s="1"/>
  <c r="J393" i="8"/>
  <c r="H393" i="8" s="1"/>
  <c r="J394" i="8"/>
  <c r="H394" i="8" s="1"/>
  <c r="J395" i="8"/>
  <c r="H395" i="8" s="1"/>
  <c r="J396" i="8"/>
  <c r="H396" i="8" s="1"/>
  <c r="J397" i="8"/>
  <c r="H397" i="8" s="1"/>
  <c r="J398" i="8"/>
  <c r="H398" i="8" s="1"/>
  <c r="J399" i="8"/>
  <c r="H399" i="8" s="1"/>
  <c r="J400" i="8"/>
  <c r="H400" i="8" s="1"/>
  <c r="J401" i="8"/>
  <c r="H401" i="8" s="1"/>
  <c r="J402" i="8"/>
  <c r="H402" i="8" s="1"/>
  <c r="J403" i="8"/>
  <c r="H403" i="8" s="1"/>
  <c r="J404" i="8"/>
  <c r="H404" i="8" s="1"/>
  <c r="J405" i="8"/>
  <c r="H405" i="8" s="1"/>
  <c r="J406" i="8"/>
  <c r="H406" i="8" s="1"/>
  <c r="J407" i="8"/>
  <c r="H407" i="8" s="1"/>
  <c r="J408" i="8"/>
  <c r="H408" i="8" s="1"/>
  <c r="J409" i="8"/>
  <c r="H409" i="8" s="1"/>
  <c r="J410" i="8"/>
  <c r="H410" i="8" s="1"/>
  <c r="J411" i="8"/>
  <c r="H411" i="8" s="1"/>
  <c r="J412" i="8"/>
  <c r="H412" i="8" s="1"/>
  <c r="J413" i="8"/>
  <c r="H413" i="8" s="1"/>
  <c r="J414" i="8"/>
  <c r="H414" i="8" s="1"/>
  <c r="J415" i="8"/>
  <c r="H415" i="8" s="1"/>
  <c r="J416" i="8"/>
  <c r="H416" i="8" s="1"/>
  <c r="J417" i="8"/>
  <c r="H417" i="8" s="1"/>
  <c r="J418" i="8"/>
  <c r="H418" i="8" s="1"/>
  <c r="J419" i="8"/>
  <c r="H419" i="8" s="1"/>
  <c r="J420" i="8"/>
  <c r="H420" i="8" s="1"/>
  <c r="J421" i="8"/>
  <c r="H421" i="8" s="1"/>
  <c r="J422" i="8"/>
  <c r="H422" i="8" s="1"/>
  <c r="J423" i="8"/>
  <c r="H423" i="8" s="1"/>
  <c r="J424" i="8"/>
  <c r="H424" i="8" s="1"/>
  <c r="J425" i="8"/>
  <c r="H425" i="8" s="1"/>
  <c r="J426" i="8"/>
  <c r="H426" i="8" s="1"/>
  <c r="J427" i="8"/>
  <c r="H427" i="8" s="1"/>
  <c r="J428" i="8"/>
  <c r="H428" i="8" s="1"/>
  <c r="J429" i="8"/>
  <c r="H429" i="8" s="1"/>
  <c r="J430" i="8"/>
  <c r="H430" i="8" s="1"/>
  <c r="J431" i="8"/>
  <c r="H431" i="8" s="1"/>
  <c r="J432" i="8"/>
  <c r="H432" i="8" s="1"/>
  <c r="J433" i="8"/>
  <c r="H433" i="8" s="1"/>
  <c r="J434" i="8"/>
  <c r="H434" i="8" s="1"/>
  <c r="J435" i="8"/>
  <c r="H435" i="8" s="1"/>
  <c r="J436" i="8"/>
  <c r="H436" i="8" s="1"/>
  <c r="J437" i="8"/>
  <c r="H437" i="8" s="1"/>
  <c r="J438" i="8"/>
  <c r="H438" i="8" s="1"/>
  <c r="J439" i="8"/>
  <c r="H439" i="8" s="1"/>
  <c r="J440" i="8"/>
  <c r="H440" i="8" s="1"/>
  <c r="J441" i="8"/>
  <c r="H441" i="8" s="1"/>
  <c r="J442" i="8"/>
  <c r="H442" i="8" s="1"/>
  <c r="J443" i="8"/>
  <c r="H443" i="8" s="1"/>
  <c r="J444" i="8"/>
  <c r="H444" i="8" s="1"/>
  <c r="J445" i="8"/>
  <c r="H445" i="8" s="1"/>
  <c r="J446" i="8"/>
  <c r="H446" i="8" s="1"/>
  <c r="J447" i="8"/>
  <c r="H447" i="8" s="1"/>
  <c r="J448" i="8"/>
  <c r="H448" i="8" s="1"/>
  <c r="J449" i="8"/>
  <c r="H449" i="8" s="1"/>
  <c r="J450" i="8"/>
  <c r="H450" i="8" s="1"/>
  <c r="J451" i="8"/>
  <c r="H451" i="8" s="1"/>
  <c r="J452" i="8"/>
  <c r="H452" i="8" s="1"/>
  <c r="J453" i="8"/>
  <c r="H453" i="8" s="1"/>
  <c r="J454" i="8"/>
  <c r="H454" i="8" s="1"/>
  <c r="J455" i="8"/>
  <c r="H455" i="8" s="1"/>
  <c r="J456" i="8"/>
  <c r="H456" i="8" s="1"/>
  <c r="J457" i="8"/>
  <c r="H457" i="8" s="1"/>
  <c r="J458" i="8"/>
  <c r="H458" i="8" s="1"/>
  <c r="J459" i="8"/>
  <c r="H459" i="8" s="1"/>
  <c r="J460" i="8"/>
  <c r="H460" i="8" s="1"/>
  <c r="J461" i="8"/>
  <c r="H461" i="8" s="1"/>
  <c r="J462" i="8"/>
  <c r="H462" i="8" s="1"/>
  <c r="J463" i="8"/>
  <c r="H463" i="8" s="1"/>
  <c r="J464" i="8"/>
  <c r="H464" i="8" s="1"/>
  <c r="J465" i="8"/>
  <c r="H465" i="8" s="1"/>
  <c r="J466" i="8"/>
  <c r="H466" i="8" s="1"/>
  <c r="J467" i="8"/>
  <c r="H467" i="8" s="1"/>
  <c r="J468" i="8"/>
  <c r="H468" i="8" s="1"/>
  <c r="J469" i="8"/>
  <c r="H469" i="8" s="1"/>
  <c r="J470" i="8"/>
  <c r="H470" i="8" s="1"/>
  <c r="J471" i="8"/>
  <c r="H471" i="8" s="1"/>
  <c r="J472" i="8"/>
  <c r="H472" i="8" s="1"/>
  <c r="J473" i="8"/>
  <c r="H473" i="8" s="1"/>
  <c r="J474" i="8"/>
  <c r="H474" i="8" s="1"/>
  <c r="J475" i="8"/>
  <c r="H475" i="8" s="1"/>
  <c r="J476" i="8"/>
  <c r="H476" i="8" s="1"/>
  <c r="J477" i="8"/>
  <c r="H477" i="8" s="1"/>
  <c r="J478" i="8"/>
  <c r="H478" i="8" s="1"/>
  <c r="J479" i="8"/>
  <c r="H479" i="8" s="1"/>
  <c r="J480" i="8"/>
  <c r="H480" i="8" s="1"/>
  <c r="J481" i="8"/>
  <c r="H481" i="8" s="1"/>
  <c r="J482" i="8"/>
  <c r="H482" i="8" s="1"/>
  <c r="J483" i="8"/>
  <c r="H483" i="8" s="1"/>
  <c r="J484" i="8"/>
  <c r="H484" i="8" s="1"/>
  <c r="J485" i="8"/>
  <c r="H485" i="8" s="1"/>
  <c r="J486" i="8"/>
  <c r="H486" i="8" s="1"/>
  <c r="J487" i="8"/>
  <c r="H487" i="8" s="1"/>
  <c r="J488" i="8"/>
  <c r="H488" i="8" s="1"/>
  <c r="J489" i="8"/>
  <c r="H489" i="8" s="1"/>
  <c r="J490" i="8"/>
  <c r="H490" i="8" s="1"/>
  <c r="J491" i="8"/>
  <c r="H491" i="8" s="1"/>
  <c r="J492" i="8"/>
  <c r="H492" i="8" s="1"/>
  <c r="J493" i="8"/>
  <c r="H493" i="8" s="1"/>
  <c r="J494" i="8"/>
  <c r="H494" i="8" s="1"/>
  <c r="J495" i="8"/>
  <c r="H495" i="8" s="1"/>
  <c r="J496" i="8"/>
  <c r="H496" i="8" s="1"/>
  <c r="J497" i="8"/>
  <c r="H497" i="8" s="1"/>
  <c r="J498" i="8"/>
  <c r="H498" i="8" s="1"/>
  <c r="J499" i="8"/>
  <c r="H499" i="8" s="1"/>
  <c r="J500" i="8"/>
  <c r="H500" i="8" s="1"/>
  <c r="J501" i="8"/>
  <c r="H501" i="8" s="1"/>
  <c r="J502" i="8"/>
  <c r="H502" i="8" s="1"/>
  <c r="J503" i="8"/>
  <c r="H503" i="8" s="1"/>
  <c r="J504" i="8"/>
  <c r="H504" i="8" s="1"/>
  <c r="J505" i="8"/>
  <c r="H505" i="8" s="1"/>
  <c r="J506" i="8"/>
  <c r="H506" i="8" s="1"/>
  <c r="J507" i="8"/>
  <c r="H507" i="8" s="1"/>
  <c r="J508" i="8"/>
  <c r="H508" i="8" s="1"/>
  <c r="J509" i="8"/>
  <c r="H509" i="8" s="1"/>
  <c r="J510" i="8"/>
  <c r="H510" i="8" s="1"/>
  <c r="J511" i="8"/>
  <c r="H511" i="8" s="1"/>
  <c r="J512" i="8"/>
  <c r="H512" i="8" s="1"/>
  <c r="J513" i="8"/>
  <c r="H513" i="8" s="1"/>
  <c r="J514" i="8"/>
  <c r="H514" i="8" s="1"/>
  <c r="J515" i="8"/>
  <c r="H515" i="8" s="1"/>
  <c r="J516" i="8"/>
  <c r="H516" i="8" s="1"/>
  <c r="J517" i="8"/>
  <c r="H517" i="8" s="1"/>
  <c r="J518" i="8"/>
  <c r="H518" i="8" s="1"/>
  <c r="J519" i="8"/>
  <c r="H519" i="8" s="1"/>
  <c r="J520" i="8"/>
  <c r="H520" i="8" s="1"/>
  <c r="J521" i="8"/>
  <c r="H521" i="8" s="1"/>
  <c r="J522" i="8"/>
  <c r="H522" i="8" s="1"/>
  <c r="J523" i="8"/>
  <c r="H523" i="8" s="1"/>
  <c r="J524" i="8"/>
  <c r="H524" i="8" s="1"/>
  <c r="J525" i="8"/>
  <c r="H525" i="8" s="1"/>
  <c r="J526" i="8"/>
  <c r="H526" i="8" s="1"/>
  <c r="J527" i="8"/>
  <c r="H527" i="8" s="1"/>
  <c r="J528" i="8"/>
  <c r="H528" i="8" s="1"/>
  <c r="J529" i="8"/>
  <c r="H529" i="8" s="1"/>
  <c r="J530" i="8"/>
  <c r="H530" i="8" s="1"/>
  <c r="J531" i="8"/>
  <c r="H531" i="8" s="1"/>
  <c r="J532" i="8"/>
  <c r="H532" i="8" s="1"/>
  <c r="J533" i="8"/>
  <c r="H533" i="8" s="1"/>
  <c r="J534" i="8"/>
  <c r="H534" i="8" s="1"/>
  <c r="J535" i="8"/>
  <c r="H535" i="8" s="1"/>
  <c r="J536" i="8"/>
  <c r="H536" i="8" s="1"/>
  <c r="J537" i="8"/>
  <c r="H537" i="8" s="1"/>
  <c r="J538" i="8"/>
  <c r="H538" i="8" s="1"/>
  <c r="J539" i="8"/>
  <c r="H539" i="8" s="1"/>
  <c r="J540" i="8"/>
  <c r="H540" i="8" s="1"/>
  <c r="J541" i="8"/>
  <c r="H541" i="8" s="1"/>
  <c r="J542" i="8"/>
  <c r="H542" i="8" s="1"/>
  <c r="J543" i="8"/>
  <c r="H543" i="8" s="1"/>
  <c r="J544" i="8"/>
  <c r="H544" i="8" s="1"/>
  <c r="J545" i="8"/>
  <c r="H545" i="8" s="1"/>
  <c r="J546" i="8"/>
  <c r="H546" i="8" s="1"/>
  <c r="J547" i="8"/>
  <c r="H547" i="8" s="1"/>
  <c r="J548" i="8"/>
  <c r="H548" i="8" s="1"/>
  <c r="J549" i="8"/>
  <c r="H549" i="8" s="1"/>
  <c r="J550" i="8"/>
  <c r="H550" i="8" s="1"/>
  <c r="J551" i="8"/>
  <c r="H551" i="8" s="1"/>
  <c r="J552" i="8"/>
  <c r="H552" i="8" s="1"/>
  <c r="J553" i="8"/>
  <c r="H553" i="8" s="1"/>
  <c r="J554" i="8"/>
  <c r="H554" i="8" s="1"/>
  <c r="J555" i="8"/>
  <c r="H555" i="8" s="1"/>
  <c r="J556" i="8"/>
  <c r="H556" i="8" s="1"/>
  <c r="J557" i="8"/>
  <c r="H557" i="8" s="1"/>
  <c r="J558" i="8"/>
  <c r="H558" i="8" s="1"/>
  <c r="J559" i="8"/>
  <c r="H559" i="8" s="1"/>
  <c r="J560" i="8"/>
  <c r="H560" i="8" s="1"/>
  <c r="J561" i="8"/>
  <c r="H561" i="8" s="1"/>
  <c r="J562" i="8"/>
  <c r="H562" i="8" s="1"/>
  <c r="J563" i="8"/>
  <c r="H563" i="8" s="1"/>
  <c r="J564" i="8"/>
  <c r="H564" i="8" s="1"/>
  <c r="J565" i="8"/>
  <c r="H565" i="8" s="1"/>
  <c r="J566" i="8"/>
  <c r="H566" i="8" s="1"/>
  <c r="J567" i="8"/>
  <c r="H567" i="8" s="1"/>
  <c r="J568" i="8"/>
  <c r="H568" i="8" s="1"/>
  <c r="J569" i="8"/>
  <c r="H569" i="8" s="1"/>
  <c r="J570" i="8"/>
  <c r="H570" i="8" s="1"/>
  <c r="J571" i="8"/>
  <c r="H571" i="8" s="1"/>
  <c r="J572" i="8"/>
  <c r="H572" i="8" s="1"/>
  <c r="J573" i="8"/>
  <c r="H573" i="8" s="1"/>
  <c r="J574" i="8"/>
  <c r="H574" i="8" s="1"/>
  <c r="J575" i="8"/>
  <c r="H575" i="8" s="1"/>
  <c r="J576" i="8"/>
  <c r="H576" i="8" s="1"/>
  <c r="J577" i="8"/>
  <c r="H577" i="8" s="1"/>
  <c r="J578" i="8"/>
  <c r="H578" i="8" s="1"/>
  <c r="J579" i="8"/>
  <c r="H579" i="8" s="1"/>
  <c r="J580" i="8"/>
  <c r="H580" i="8" s="1"/>
  <c r="J581" i="8"/>
  <c r="H581" i="8" s="1"/>
  <c r="J582" i="8"/>
  <c r="H582" i="8" s="1"/>
  <c r="J583" i="8"/>
  <c r="H583" i="8" s="1"/>
  <c r="J584" i="8"/>
  <c r="H584" i="8" s="1"/>
  <c r="J585" i="8"/>
  <c r="H585" i="8" s="1"/>
  <c r="J586" i="8"/>
  <c r="H586" i="8" s="1"/>
  <c r="J587" i="8"/>
  <c r="H587" i="8" s="1"/>
  <c r="J588" i="8"/>
  <c r="H588" i="8" s="1"/>
  <c r="J589" i="8"/>
  <c r="H589" i="8" s="1"/>
  <c r="J590" i="8"/>
  <c r="H590" i="8" s="1"/>
  <c r="J591" i="8"/>
  <c r="H591" i="8" s="1"/>
  <c r="J592" i="8"/>
  <c r="H592" i="8" s="1"/>
  <c r="J593" i="8"/>
  <c r="H593" i="8" s="1"/>
  <c r="J594" i="8"/>
  <c r="H594" i="8" s="1"/>
  <c r="J595" i="8"/>
  <c r="H595" i="8" s="1"/>
  <c r="J596" i="8"/>
  <c r="H596" i="8" s="1"/>
  <c r="J597" i="8"/>
  <c r="H597" i="8" s="1"/>
  <c r="J598" i="8"/>
  <c r="H598" i="8" s="1"/>
  <c r="J3" i="8"/>
  <c r="I3" i="8"/>
  <c r="H3" i="8" s="1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47" i="10"/>
  <c r="O48" i="10"/>
  <c r="O49" i="10"/>
  <c r="O50" i="10"/>
  <c r="O51" i="10"/>
  <c r="O52" i="10"/>
  <c r="O53" i="10"/>
  <c r="O54" i="10"/>
  <c r="O55" i="10"/>
  <c r="O56" i="10"/>
  <c r="O57" i="10"/>
  <c r="O58" i="10"/>
  <c r="O59" i="10"/>
  <c r="O60" i="10"/>
  <c r="O61" i="10"/>
  <c r="O62" i="10"/>
  <c r="O63" i="10"/>
  <c r="O64" i="10"/>
  <c r="O65" i="10"/>
  <c r="O66" i="10"/>
  <c r="O67" i="10"/>
  <c r="O68" i="10"/>
  <c r="O69" i="10"/>
  <c r="O70" i="10"/>
  <c r="O71" i="10"/>
  <c r="O72" i="10"/>
  <c r="O73" i="10"/>
  <c r="O74" i="10"/>
  <c r="O75" i="10"/>
  <c r="O76" i="10"/>
  <c r="O77" i="10"/>
  <c r="O78" i="10"/>
  <c r="O79" i="10"/>
  <c r="O80" i="10"/>
  <c r="O81" i="10"/>
  <c r="O82" i="10"/>
  <c r="O83" i="10"/>
  <c r="O84" i="10"/>
  <c r="O85" i="10"/>
  <c r="O86" i="10"/>
  <c r="O87" i="10"/>
  <c r="O88" i="10"/>
  <c r="O89" i="10"/>
  <c r="O90" i="10"/>
  <c r="O91" i="10"/>
  <c r="O92" i="10"/>
  <c r="O93" i="10"/>
  <c r="O94" i="10"/>
  <c r="O95" i="10"/>
  <c r="O96" i="10"/>
  <c r="O97" i="10"/>
  <c r="O98" i="10"/>
  <c r="O99" i="10"/>
  <c r="O100" i="10"/>
  <c r="O101" i="10"/>
  <c r="O102" i="10"/>
  <c r="O103" i="10"/>
  <c r="O104" i="10"/>
  <c r="O105" i="10"/>
  <c r="O106" i="10"/>
  <c r="O107" i="10"/>
  <c r="O108" i="10"/>
  <c r="O109" i="10"/>
  <c r="O110" i="10"/>
  <c r="O111" i="10"/>
  <c r="O112" i="10"/>
  <c r="O113" i="10"/>
  <c r="O114" i="10"/>
  <c r="O115" i="10"/>
  <c r="O116" i="10"/>
  <c r="O117" i="10"/>
  <c r="O118" i="10"/>
  <c r="O119" i="10"/>
  <c r="O120" i="10"/>
  <c r="O121" i="10"/>
  <c r="O122" i="10"/>
  <c r="O123" i="10"/>
  <c r="O124" i="10"/>
  <c r="O125" i="10"/>
  <c r="O126" i="10"/>
  <c r="O127" i="10"/>
  <c r="O128" i="10"/>
  <c r="O129" i="10"/>
  <c r="O130" i="10"/>
  <c r="O131" i="10"/>
  <c r="O132" i="10"/>
  <c r="O133" i="10"/>
  <c r="O134" i="10"/>
  <c r="O135" i="10"/>
  <c r="O136" i="10"/>
  <c r="O137" i="10"/>
  <c r="O138" i="10"/>
  <c r="O139" i="10"/>
  <c r="O140" i="10"/>
  <c r="O141" i="10"/>
  <c r="O142" i="10"/>
  <c r="O143" i="10"/>
  <c r="O144" i="10"/>
  <c r="O145" i="10"/>
  <c r="O146" i="10"/>
  <c r="O147" i="10"/>
  <c r="O148" i="10"/>
  <c r="O149" i="10"/>
  <c r="O150" i="10"/>
  <c r="O151" i="10"/>
  <c r="O152" i="10"/>
  <c r="O153" i="10"/>
  <c r="O154" i="10"/>
  <c r="O155" i="10"/>
  <c r="O156" i="10"/>
  <c r="O157" i="10"/>
  <c r="O158" i="10"/>
  <c r="O159" i="10"/>
  <c r="O160" i="10"/>
  <c r="O161" i="10"/>
  <c r="O162" i="10"/>
  <c r="O163" i="10"/>
  <c r="O164" i="10"/>
  <c r="O165" i="10"/>
  <c r="O166" i="10"/>
  <c r="O167" i="10"/>
  <c r="O168" i="10"/>
  <c r="O169" i="10"/>
  <c r="O170" i="10"/>
  <c r="O171" i="10"/>
  <c r="O172" i="10"/>
  <c r="O173" i="10"/>
  <c r="O174" i="10"/>
  <c r="O175" i="10"/>
  <c r="O176" i="10"/>
  <c r="O177" i="10"/>
  <c r="O178" i="10"/>
  <c r="O179" i="10"/>
  <c r="O180" i="10"/>
  <c r="O181" i="10"/>
  <c r="O182" i="10"/>
  <c r="O183" i="10"/>
  <c r="O184" i="10"/>
  <c r="O185" i="10"/>
  <c r="O186" i="10"/>
  <c r="O187" i="10"/>
  <c r="O188" i="10"/>
  <c r="O189" i="10"/>
  <c r="O190" i="10"/>
  <c r="O191" i="10"/>
  <c r="O192" i="10"/>
  <c r="O193" i="10"/>
  <c r="O194" i="10"/>
  <c r="O195" i="10"/>
  <c r="O196" i="10"/>
  <c r="O197" i="10"/>
  <c r="O198" i="10"/>
  <c r="O199" i="10"/>
  <c r="O200" i="10"/>
  <c r="O201" i="10"/>
  <c r="O202" i="10"/>
  <c r="O203" i="10"/>
  <c r="O204" i="10"/>
  <c r="O205" i="10"/>
  <c r="O206" i="10"/>
  <c r="O207" i="10"/>
  <c r="O208" i="10"/>
  <c r="O209" i="10"/>
  <c r="O210" i="10"/>
  <c r="O211" i="10"/>
  <c r="O212" i="10"/>
  <c r="O213" i="10"/>
  <c r="O214" i="10"/>
  <c r="O215" i="10"/>
  <c r="O216" i="10"/>
  <c r="O217" i="10"/>
  <c r="O218" i="10"/>
  <c r="O219" i="10"/>
  <c r="O220" i="10"/>
  <c r="O221" i="10"/>
  <c r="O222" i="10"/>
  <c r="O223" i="10"/>
  <c r="O224" i="10"/>
  <c r="O225" i="10"/>
  <c r="O226" i="10"/>
  <c r="O227" i="10"/>
  <c r="O228" i="10"/>
  <c r="O229" i="10"/>
  <c r="O230" i="10"/>
  <c r="O231" i="10"/>
  <c r="O232" i="10"/>
  <c r="O233" i="10"/>
  <c r="O234" i="10"/>
  <c r="O235" i="10"/>
  <c r="O236" i="10"/>
  <c r="O237" i="10"/>
  <c r="O238" i="10"/>
  <c r="O4" i="10"/>
  <c r="O3" i="10"/>
  <c r="F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C25" i="8"/>
  <c r="I25" i="8" s="1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C41" i="8"/>
  <c r="I41" i="8" s="1"/>
  <c r="C42" i="8"/>
  <c r="I42" i="8" s="1"/>
  <c r="I43" i="8"/>
  <c r="C44" i="8"/>
  <c r="I44" i="8" s="1"/>
  <c r="I45" i="8"/>
  <c r="C46" i="8"/>
  <c r="I46" i="8" s="1"/>
  <c r="C47" i="8"/>
  <c r="I47" i="8" s="1"/>
  <c r="C48" i="8"/>
  <c r="I48" i="8" s="1"/>
  <c r="I49" i="8"/>
  <c r="C50" i="8"/>
  <c r="I50" i="8" s="1"/>
  <c r="C51" i="8"/>
  <c r="I51" i="8" s="1"/>
  <c r="I52" i="8"/>
  <c r="C53" i="8"/>
  <c r="I53" i="8" s="1"/>
  <c r="C54" i="8"/>
  <c r="I54" i="8" s="1"/>
  <c r="C55" i="8"/>
  <c r="I55" i="8" s="1"/>
  <c r="C56" i="8"/>
  <c r="I56" i="8" s="1"/>
  <c r="C57" i="8"/>
  <c r="I57" i="8" s="1"/>
  <c r="C58" i="8"/>
  <c r="I58" i="8" s="1"/>
  <c r="C59" i="8"/>
  <c r="I59" i="8" s="1"/>
  <c r="C60" i="8"/>
  <c r="I60" i="8" s="1"/>
  <c r="C61" i="8"/>
  <c r="I61" i="8" s="1"/>
  <c r="C62" i="8"/>
  <c r="I62" i="8" s="1"/>
  <c r="C63" i="8"/>
  <c r="I63" i="8" s="1"/>
  <c r="C64" i="8"/>
  <c r="I64" i="8" s="1"/>
  <c r="C65" i="8"/>
  <c r="I65" i="8" s="1"/>
  <c r="C66" i="8"/>
  <c r="I66" i="8" s="1"/>
  <c r="C67" i="8"/>
  <c r="I67" i="8" s="1"/>
  <c r="I68" i="8"/>
  <c r="I69" i="8"/>
  <c r="I70" i="8"/>
  <c r="I71" i="8"/>
  <c r="C72" i="8"/>
  <c r="I72" i="8" s="1"/>
  <c r="C73" i="8"/>
  <c r="I73" i="8" s="1"/>
  <c r="C74" i="8"/>
  <c r="I74" i="8" s="1"/>
  <c r="I75" i="8"/>
  <c r="I76" i="8"/>
  <c r="I77" i="8"/>
  <c r="I78" i="8"/>
  <c r="C79" i="8"/>
  <c r="I79" i="8" s="1"/>
  <c r="C80" i="8"/>
  <c r="I80" i="8" s="1"/>
  <c r="C81" i="8"/>
  <c r="I81" i="8" s="1"/>
  <c r="C82" i="8"/>
  <c r="I82" i="8" s="1"/>
  <c r="C83" i="8"/>
  <c r="I83" i="8" s="1"/>
  <c r="C84" i="8"/>
  <c r="I84" i="8" s="1"/>
  <c r="C85" i="8"/>
  <c r="I85" i="8" s="1"/>
  <c r="C86" i="8"/>
  <c r="I86" i="8" s="1"/>
  <c r="C87" i="8"/>
  <c r="I87" i="8" s="1"/>
  <c r="C88" i="8"/>
  <c r="I88" i="8" s="1"/>
  <c r="C89" i="8"/>
  <c r="I89" i="8" s="1"/>
  <c r="C90" i="8"/>
  <c r="I90" i="8" s="1"/>
  <c r="C91" i="8"/>
  <c r="I91" i="8" s="1"/>
  <c r="C92" i="8"/>
  <c r="I92" i="8" s="1"/>
  <c r="C93" i="8"/>
  <c r="I93" i="8" s="1"/>
  <c r="C94" i="8"/>
  <c r="I94" i="8" s="1"/>
  <c r="C95" i="8"/>
  <c r="I95" i="8" s="1"/>
  <c r="C96" i="8"/>
  <c r="C97" i="8"/>
  <c r="C98" i="8"/>
  <c r="C99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5" i="8"/>
  <c r="F6" i="8"/>
  <c r="F7" i="8"/>
  <c r="F8" i="8"/>
  <c r="F9" i="8"/>
  <c r="F10" i="8"/>
  <c r="F11" i="8"/>
  <c r="F12" i="8"/>
  <c r="F13" i="8"/>
  <c r="A64" i="8" l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B13" i="6"/>
  <c r="A103" i="8" l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I235" i="6"/>
  <c r="F3" i="8"/>
  <c r="F2" i="8"/>
  <c r="I2" i="8"/>
  <c r="F1300" i="4"/>
  <c r="C1300" i="4"/>
  <c r="A1300" i="4"/>
  <c r="F1299" i="4"/>
  <c r="C1299" i="4"/>
  <c r="A1299" i="4"/>
  <c r="F1298" i="4"/>
  <c r="C1298" i="4"/>
  <c r="A1298" i="4"/>
  <c r="F1297" i="4"/>
  <c r="C1297" i="4"/>
  <c r="A1297" i="4"/>
  <c r="F1296" i="4"/>
  <c r="C1296" i="4"/>
  <c r="A1296" i="4"/>
  <c r="F1295" i="4"/>
  <c r="C1295" i="4"/>
  <c r="A1295" i="4"/>
  <c r="F1294" i="4"/>
  <c r="C1294" i="4"/>
  <c r="A1294" i="4"/>
  <c r="F1293" i="4"/>
  <c r="C1293" i="4"/>
  <c r="A1293" i="4"/>
  <c r="F1292" i="4"/>
  <c r="C1292" i="4"/>
  <c r="A1292" i="4"/>
  <c r="F1291" i="4"/>
  <c r="C1291" i="4"/>
  <c r="A1291" i="4"/>
  <c r="F1290" i="4"/>
  <c r="C1290" i="4"/>
  <c r="A1290" i="4"/>
  <c r="F1289" i="4"/>
  <c r="C1289" i="4"/>
  <c r="A1289" i="4"/>
  <c r="F1288" i="4"/>
  <c r="C1288" i="4"/>
  <c r="A1288" i="4"/>
  <c r="F1287" i="4"/>
  <c r="C1287" i="4"/>
  <c r="A1287" i="4"/>
  <c r="F1286" i="4"/>
  <c r="C1286" i="4"/>
  <c r="A1286" i="4"/>
  <c r="F1285" i="4"/>
  <c r="C1285" i="4"/>
  <c r="A1285" i="4"/>
  <c r="F1284" i="4"/>
  <c r="C1284" i="4"/>
  <c r="A1284" i="4"/>
  <c r="F1283" i="4"/>
  <c r="C1283" i="4"/>
  <c r="A1283" i="4"/>
  <c r="F1282" i="4"/>
  <c r="C1282" i="4"/>
  <c r="A1282" i="4"/>
  <c r="F1281" i="4"/>
  <c r="C1281" i="4"/>
  <c r="A1281" i="4"/>
  <c r="F1280" i="4"/>
  <c r="C1280" i="4"/>
  <c r="A1280" i="4"/>
  <c r="F1279" i="4"/>
  <c r="C1279" i="4"/>
  <c r="A1279" i="4"/>
  <c r="F1278" i="4"/>
  <c r="C1278" i="4"/>
  <c r="A1278" i="4"/>
  <c r="F1277" i="4"/>
  <c r="C1277" i="4"/>
  <c r="A1277" i="4"/>
  <c r="F1276" i="4"/>
  <c r="C1276" i="4"/>
  <c r="A1276" i="4"/>
  <c r="F1275" i="4"/>
  <c r="C1275" i="4"/>
  <c r="A1275" i="4"/>
  <c r="F1274" i="4"/>
  <c r="C1274" i="4"/>
  <c r="A1274" i="4"/>
  <c r="F1273" i="4"/>
  <c r="C1273" i="4"/>
  <c r="A1273" i="4"/>
  <c r="F1272" i="4"/>
  <c r="C1272" i="4"/>
  <c r="A1272" i="4"/>
  <c r="F1271" i="4"/>
  <c r="C1271" i="4"/>
  <c r="A1271" i="4"/>
  <c r="F1270" i="4"/>
  <c r="C1270" i="4"/>
  <c r="A1270" i="4"/>
  <c r="F1269" i="4"/>
  <c r="C1269" i="4"/>
  <c r="A1269" i="4"/>
  <c r="F1268" i="4"/>
  <c r="C1268" i="4"/>
  <c r="A1268" i="4"/>
  <c r="F1267" i="4"/>
  <c r="C1267" i="4"/>
  <c r="A1267" i="4"/>
  <c r="F1266" i="4"/>
  <c r="C1266" i="4"/>
  <c r="A1266" i="4"/>
  <c r="F1265" i="4"/>
  <c r="C1265" i="4"/>
  <c r="A1265" i="4"/>
  <c r="F1264" i="4"/>
  <c r="C1264" i="4"/>
  <c r="A1264" i="4"/>
  <c r="F1263" i="4"/>
  <c r="C1263" i="4"/>
  <c r="A1263" i="4"/>
  <c r="F1262" i="4"/>
  <c r="C1262" i="4"/>
  <c r="A1262" i="4"/>
  <c r="F1261" i="4"/>
  <c r="C1261" i="4"/>
  <c r="A1261" i="4"/>
  <c r="F1260" i="4"/>
  <c r="C1260" i="4"/>
  <c r="A1260" i="4"/>
  <c r="F1259" i="4"/>
  <c r="C1259" i="4"/>
  <c r="A1259" i="4"/>
  <c r="F1258" i="4"/>
  <c r="C1258" i="4"/>
  <c r="A1258" i="4"/>
  <c r="F1257" i="4"/>
  <c r="C1257" i="4"/>
  <c r="A1257" i="4"/>
  <c r="F1256" i="4"/>
  <c r="C1256" i="4"/>
  <c r="A1256" i="4"/>
  <c r="F1255" i="4"/>
  <c r="C1255" i="4"/>
  <c r="A1255" i="4"/>
  <c r="F1254" i="4"/>
  <c r="C1254" i="4"/>
  <c r="A1254" i="4"/>
  <c r="F1253" i="4"/>
  <c r="C1253" i="4"/>
  <c r="A1253" i="4"/>
  <c r="F1252" i="4"/>
  <c r="C1252" i="4"/>
  <c r="A1252" i="4"/>
  <c r="F1251" i="4"/>
  <c r="C1251" i="4"/>
  <c r="A1251" i="4"/>
  <c r="F1250" i="4"/>
  <c r="C1250" i="4"/>
  <c r="A1250" i="4"/>
  <c r="F1249" i="4"/>
  <c r="C1249" i="4"/>
  <c r="A1249" i="4"/>
  <c r="F1248" i="4"/>
  <c r="C1248" i="4"/>
  <c r="A1248" i="4"/>
  <c r="F1247" i="4"/>
  <c r="C1247" i="4"/>
  <c r="A1247" i="4"/>
  <c r="F1246" i="4"/>
  <c r="C1246" i="4"/>
  <c r="A1246" i="4"/>
  <c r="F1245" i="4"/>
  <c r="C1245" i="4"/>
  <c r="A1245" i="4"/>
  <c r="F1244" i="4"/>
  <c r="C1244" i="4"/>
  <c r="A1244" i="4"/>
  <c r="F1243" i="4"/>
  <c r="C1243" i="4"/>
  <c r="A1243" i="4"/>
  <c r="F1242" i="4"/>
  <c r="C1242" i="4"/>
  <c r="A1242" i="4"/>
  <c r="F1241" i="4"/>
  <c r="C1241" i="4"/>
  <c r="A1241" i="4"/>
  <c r="F1240" i="4"/>
  <c r="C1240" i="4"/>
  <c r="A1240" i="4"/>
  <c r="F1239" i="4"/>
  <c r="C1239" i="4"/>
  <c r="A1239" i="4"/>
  <c r="F1238" i="4"/>
  <c r="C1238" i="4"/>
  <c r="A1238" i="4"/>
  <c r="F1237" i="4"/>
  <c r="C1237" i="4"/>
  <c r="A1237" i="4"/>
  <c r="F1236" i="4"/>
  <c r="C1236" i="4"/>
  <c r="A1236" i="4"/>
  <c r="F1235" i="4"/>
  <c r="C1235" i="4"/>
  <c r="A1235" i="4"/>
  <c r="F1234" i="4"/>
  <c r="C1234" i="4"/>
  <c r="A1234" i="4"/>
  <c r="F1233" i="4"/>
  <c r="C1233" i="4"/>
  <c r="A1233" i="4"/>
  <c r="F1232" i="4"/>
  <c r="C1232" i="4"/>
  <c r="A1232" i="4"/>
  <c r="F1231" i="4"/>
  <c r="C1231" i="4"/>
  <c r="A1231" i="4"/>
  <c r="F1230" i="4"/>
  <c r="C1230" i="4"/>
  <c r="A1230" i="4"/>
  <c r="F1229" i="4"/>
  <c r="C1229" i="4"/>
  <c r="A1229" i="4"/>
  <c r="F1228" i="4"/>
  <c r="C1228" i="4"/>
  <c r="A1228" i="4"/>
  <c r="F1227" i="4"/>
  <c r="C1227" i="4"/>
  <c r="A1227" i="4"/>
  <c r="F1226" i="4"/>
  <c r="C1226" i="4"/>
  <c r="A1226" i="4"/>
  <c r="F1225" i="4"/>
  <c r="C1225" i="4"/>
  <c r="A1225" i="4"/>
  <c r="F1224" i="4"/>
  <c r="C1224" i="4"/>
  <c r="A1224" i="4"/>
  <c r="F1223" i="4"/>
  <c r="C1223" i="4"/>
  <c r="A1223" i="4"/>
  <c r="F1222" i="4"/>
  <c r="C1222" i="4"/>
  <c r="A1222" i="4"/>
  <c r="F1221" i="4"/>
  <c r="C1221" i="4"/>
  <c r="A1221" i="4"/>
  <c r="F1220" i="4"/>
  <c r="C1220" i="4"/>
  <c r="A1220" i="4"/>
  <c r="F1219" i="4"/>
  <c r="C1219" i="4"/>
  <c r="A1219" i="4"/>
  <c r="F1218" i="4"/>
  <c r="C1218" i="4"/>
  <c r="A1218" i="4"/>
  <c r="F1217" i="4"/>
  <c r="C1217" i="4"/>
  <c r="A1217" i="4"/>
  <c r="F1216" i="4"/>
  <c r="C1216" i="4"/>
  <c r="A1216" i="4"/>
  <c r="F1215" i="4"/>
  <c r="C1215" i="4"/>
  <c r="A1215" i="4"/>
  <c r="F1214" i="4"/>
  <c r="C1214" i="4"/>
  <c r="A1214" i="4"/>
  <c r="F1213" i="4"/>
  <c r="C1213" i="4"/>
  <c r="A1213" i="4"/>
  <c r="F1212" i="4"/>
  <c r="C1212" i="4"/>
  <c r="A1212" i="4"/>
  <c r="F1211" i="4"/>
  <c r="C1211" i="4"/>
  <c r="A1211" i="4"/>
  <c r="F1210" i="4"/>
  <c r="C1210" i="4"/>
  <c r="A1210" i="4"/>
  <c r="F1209" i="4"/>
  <c r="C1209" i="4"/>
  <c r="A1209" i="4"/>
  <c r="F1208" i="4"/>
  <c r="C1208" i="4"/>
  <c r="A1208" i="4"/>
  <c r="F1207" i="4"/>
  <c r="C1207" i="4"/>
  <c r="A1207" i="4"/>
  <c r="F1206" i="4"/>
  <c r="C1206" i="4"/>
  <c r="A1206" i="4"/>
  <c r="F1205" i="4"/>
  <c r="C1205" i="4"/>
  <c r="A1205" i="4"/>
  <c r="F1204" i="4"/>
  <c r="C1204" i="4"/>
  <c r="A1204" i="4"/>
  <c r="F1203" i="4"/>
  <c r="C1203" i="4"/>
  <c r="A1203" i="4"/>
  <c r="F1202" i="4"/>
  <c r="C1202" i="4"/>
  <c r="A1202" i="4"/>
  <c r="F1201" i="4"/>
  <c r="C1201" i="4"/>
  <c r="A1201" i="4"/>
  <c r="F1200" i="4"/>
  <c r="C1200" i="4"/>
  <c r="A1200" i="4"/>
  <c r="F1199" i="4"/>
  <c r="C1199" i="4"/>
  <c r="A1199" i="4"/>
  <c r="F1198" i="4"/>
  <c r="C1198" i="4"/>
  <c r="A1198" i="4"/>
  <c r="F1197" i="4"/>
  <c r="C1197" i="4"/>
  <c r="A1197" i="4"/>
  <c r="F1196" i="4"/>
  <c r="C1196" i="4"/>
  <c r="A1196" i="4"/>
  <c r="F1195" i="4"/>
  <c r="C1195" i="4"/>
  <c r="A1195" i="4"/>
  <c r="F1194" i="4"/>
  <c r="C1194" i="4"/>
  <c r="A1194" i="4"/>
  <c r="F1193" i="4"/>
  <c r="C1193" i="4"/>
  <c r="A1193" i="4"/>
  <c r="F1192" i="4"/>
  <c r="C1192" i="4"/>
  <c r="A1192" i="4"/>
  <c r="F1191" i="4"/>
  <c r="C1191" i="4"/>
  <c r="A1191" i="4"/>
  <c r="F1190" i="4"/>
  <c r="C1190" i="4"/>
  <c r="A1190" i="4"/>
  <c r="F1189" i="4"/>
  <c r="C1189" i="4"/>
  <c r="A1189" i="4"/>
  <c r="F1188" i="4"/>
  <c r="C1188" i="4"/>
  <c r="A1188" i="4"/>
  <c r="F1187" i="4"/>
  <c r="C1187" i="4"/>
  <c r="A1187" i="4"/>
  <c r="F1186" i="4"/>
  <c r="C1186" i="4"/>
  <c r="A1186" i="4"/>
  <c r="F1185" i="4"/>
  <c r="C1185" i="4"/>
  <c r="A1185" i="4"/>
  <c r="F1184" i="4"/>
  <c r="C1184" i="4"/>
  <c r="A1184" i="4"/>
  <c r="F1183" i="4"/>
  <c r="C1183" i="4"/>
  <c r="A1183" i="4"/>
  <c r="F1182" i="4"/>
  <c r="C1182" i="4"/>
  <c r="A1182" i="4"/>
  <c r="F1181" i="4"/>
  <c r="C1181" i="4"/>
  <c r="A1181" i="4"/>
  <c r="F1180" i="4"/>
  <c r="C1180" i="4"/>
  <c r="A1180" i="4"/>
  <c r="F1179" i="4"/>
  <c r="C1179" i="4"/>
  <c r="A1179" i="4"/>
  <c r="F1178" i="4"/>
  <c r="C1178" i="4"/>
  <c r="A1178" i="4"/>
  <c r="F1177" i="4"/>
  <c r="C1177" i="4"/>
  <c r="A1177" i="4"/>
  <c r="F1176" i="4"/>
  <c r="C1176" i="4"/>
  <c r="A1176" i="4"/>
  <c r="F1175" i="4"/>
  <c r="C1175" i="4"/>
  <c r="A1175" i="4"/>
  <c r="F1174" i="4"/>
  <c r="C1174" i="4"/>
  <c r="A1174" i="4"/>
  <c r="F1173" i="4"/>
  <c r="C1173" i="4"/>
  <c r="A1173" i="4"/>
  <c r="F1172" i="4"/>
  <c r="C1172" i="4"/>
  <c r="A1172" i="4"/>
  <c r="F1171" i="4"/>
  <c r="C1171" i="4"/>
  <c r="A1171" i="4"/>
  <c r="F1170" i="4"/>
  <c r="C1170" i="4"/>
  <c r="A1170" i="4"/>
  <c r="F1169" i="4"/>
  <c r="C1169" i="4"/>
  <c r="A1169" i="4"/>
  <c r="F1168" i="4"/>
  <c r="C1168" i="4"/>
  <c r="A1168" i="4"/>
  <c r="F1167" i="4"/>
  <c r="C1167" i="4"/>
  <c r="A1167" i="4"/>
  <c r="F1166" i="4"/>
  <c r="C1166" i="4"/>
  <c r="A1166" i="4"/>
  <c r="F1165" i="4"/>
  <c r="C1165" i="4"/>
  <c r="A1165" i="4"/>
  <c r="F1164" i="4"/>
  <c r="C1164" i="4"/>
  <c r="A1164" i="4"/>
  <c r="F1163" i="4"/>
  <c r="C1163" i="4"/>
  <c r="A1163" i="4"/>
  <c r="F1162" i="4"/>
  <c r="C1162" i="4"/>
  <c r="A1162" i="4"/>
  <c r="F1161" i="4"/>
  <c r="C1161" i="4"/>
  <c r="A1161" i="4"/>
  <c r="F1160" i="4"/>
  <c r="C1160" i="4"/>
  <c r="A1160" i="4"/>
  <c r="F1159" i="4"/>
  <c r="C1159" i="4"/>
  <c r="A1159" i="4"/>
  <c r="F1158" i="4"/>
  <c r="C1158" i="4"/>
  <c r="A1158" i="4"/>
  <c r="F1157" i="4"/>
  <c r="C1157" i="4"/>
  <c r="A1157" i="4"/>
  <c r="C1156" i="4"/>
  <c r="A1156" i="4"/>
  <c r="F1155" i="4"/>
  <c r="F1154" i="4"/>
  <c r="C1154" i="4"/>
  <c r="F1153" i="4"/>
  <c r="F1152" i="4"/>
  <c r="F1151" i="4"/>
  <c r="F1150" i="4"/>
  <c r="F1149" i="4"/>
  <c r="F1148" i="4"/>
  <c r="F1147" i="4"/>
  <c r="F1146" i="4"/>
  <c r="F1145" i="4"/>
  <c r="F1144" i="4"/>
  <c r="F1143" i="4"/>
  <c r="F1142" i="4"/>
  <c r="F1141" i="4"/>
  <c r="F1140" i="4"/>
  <c r="F1139" i="4"/>
  <c r="F1138" i="4"/>
  <c r="F1137" i="4"/>
  <c r="F1136" i="4"/>
  <c r="F1135" i="4"/>
  <c r="F1134" i="4"/>
  <c r="F1133" i="4"/>
  <c r="F1132" i="4"/>
  <c r="F1131" i="4"/>
  <c r="F1130" i="4"/>
  <c r="F1129" i="4"/>
  <c r="F1128" i="4"/>
  <c r="F1127" i="4"/>
  <c r="F1126" i="4"/>
  <c r="F1125" i="4"/>
  <c r="F1124" i="4"/>
  <c r="F1123" i="4"/>
  <c r="F1122" i="4"/>
  <c r="F1121" i="4"/>
  <c r="G1121" i="4" s="1"/>
  <c r="F1120" i="4"/>
  <c r="F1119" i="4"/>
  <c r="F1118" i="4"/>
  <c r="F1117" i="4"/>
  <c r="F1116" i="4"/>
  <c r="F1115" i="4"/>
  <c r="F1114" i="4"/>
  <c r="F1112" i="4"/>
  <c r="F1111" i="4"/>
  <c r="F1110" i="4"/>
  <c r="F1109" i="4"/>
  <c r="F1108" i="4"/>
  <c r="F1107" i="4"/>
  <c r="F1106" i="4"/>
  <c r="F1104" i="4"/>
  <c r="F1103" i="4"/>
  <c r="F1102" i="4"/>
  <c r="F1101" i="4"/>
  <c r="F1100" i="4"/>
  <c r="F1099" i="4"/>
  <c r="F1098" i="4"/>
  <c r="F1097" i="4"/>
  <c r="F1096" i="4"/>
  <c r="F1095" i="4"/>
  <c r="F1094" i="4"/>
  <c r="F1093" i="4"/>
  <c r="F1092" i="4"/>
  <c r="F1091" i="4"/>
  <c r="F1090" i="4"/>
  <c r="F1089" i="4"/>
  <c r="F1088" i="4"/>
  <c r="F1087" i="4"/>
  <c r="F1086" i="4"/>
  <c r="F1085" i="4"/>
  <c r="F1084" i="4"/>
  <c r="F1083" i="4"/>
  <c r="F1082" i="4"/>
  <c r="F1081" i="4"/>
  <c r="F1080" i="4"/>
  <c r="F1079" i="4"/>
  <c r="F1078" i="4"/>
  <c r="F1077" i="4"/>
  <c r="F1076" i="4"/>
  <c r="F1075" i="4"/>
  <c r="F1074" i="4"/>
  <c r="F1073" i="4"/>
  <c r="F1072" i="4"/>
  <c r="F1071" i="4"/>
  <c r="F1070" i="4"/>
  <c r="F1069" i="4"/>
  <c r="F1068" i="4"/>
  <c r="F1067" i="4"/>
  <c r="F1066" i="4"/>
  <c r="F1065" i="4"/>
  <c r="F1064" i="4"/>
  <c r="F1063" i="4"/>
  <c r="F1062" i="4"/>
  <c r="F1061" i="4"/>
  <c r="F1060" i="4"/>
  <c r="F1059" i="4"/>
  <c r="F1058" i="4"/>
  <c r="F1057" i="4"/>
  <c r="F1056" i="4"/>
  <c r="F1055" i="4"/>
  <c r="F1054" i="4"/>
  <c r="F1053" i="4"/>
  <c r="F1052" i="4"/>
  <c r="F1051" i="4"/>
  <c r="F1050" i="4"/>
  <c r="F1049" i="4"/>
  <c r="F1048" i="4"/>
  <c r="F1047" i="4"/>
  <c r="F1046" i="4"/>
  <c r="F1045" i="4"/>
  <c r="F1044" i="4"/>
  <c r="F1043" i="4"/>
  <c r="F1042" i="4"/>
  <c r="F1041" i="4"/>
  <c r="F1040" i="4"/>
  <c r="F1039" i="4"/>
  <c r="F1038" i="4"/>
  <c r="F1037" i="4"/>
  <c r="F1036" i="4"/>
  <c r="F1035" i="4"/>
  <c r="F1034" i="4"/>
  <c r="F1033" i="4"/>
  <c r="F1032" i="4"/>
  <c r="F1031" i="4"/>
  <c r="F1030" i="4"/>
  <c r="F1029" i="4"/>
  <c r="F1028" i="4"/>
  <c r="F1027" i="4"/>
  <c r="F1026" i="4"/>
  <c r="F1025" i="4"/>
  <c r="F1024" i="4"/>
  <c r="F1023" i="4"/>
  <c r="F1022" i="4"/>
  <c r="F1021" i="4"/>
  <c r="F1020" i="4"/>
  <c r="F1019" i="4"/>
  <c r="F1018" i="4"/>
  <c r="F1017" i="4"/>
  <c r="F1016" i="4"/>
  <c r="F1015" i="4"/>
  <c r="F1014" i="4"/>
  <c r="F1013" i="4"/>
  <c r="F1012" i="4"/>
  <c r="F1011" i="4"/>
  <c r="F1010" i="4"/>
  <c r="F1009" i="4"/>
  <c r="F1008" i="4"/>
  <c r="F1007" i="4"/>
  <c r="F1006" i="4"/>
  <c r="F1005" i="4"/>
  <c r="F1004" i="4"/>
  <c r="F1003" i="4"/>
  <c r="F1002" i="4"/>
  <c r="F1001" i="4"/>
  <c r="F1000" i="4"/>
  <c r="F999" i="4"/>
  <c r="F998" i="4"/>
  <c r="F997" i="4"/>
  <c r="F996" i="4"/>
  <c r="F967" i="4"/>
  <c r="F966" i="4"/>
  <c r="F965" i="4"/>
  <c r="F964" i="4"/>
  <c r="F963" i="4"/>
  <c r="F962" i="4"/>
  <c r="F961" i="4"/>
  <c r="F960" i="4"/>
  <c r="F959" i="4"/>
  <c r="F958" i="4"/>
  <c r="F957" i="4"/>
  <c r="F956" i="4"/>
  <c r="F955" i="4"/>
  <c r="F954" i="4"/>
  <c r="F953" i="4"/>
  <c r="F952" i="4"/>
  <c r="F951" i="4"/>
  <c r="F950" i="4"/>
  <c r="F949" i="4"/>
  <c r="F948" i="4"/>
  <c r="F947" i="4"/>
  <c r="F946" i="4"/>
  <c r="F945" i="4"/>
  <c r="F944" i="4"/>
  <c r="F943" i="4"/>
  <c r="F942" i="4"/>
  <c r="F941" i="4"/>
  <c r="F940" i="4"/>
  <c r="F939" i="4"/>
  <c r="F938" i="4"/>
  <c r="F937" i="4"/>
  <c r="F936" i="4"/>
  <c r="F935" i="4"/>
  <c r="F934" i="4"/>
  <c r="F933" i="4"/>
  <c r="F932" i="4"/>
  <c r="F931" i="4"/>
  <c r="F930" i="4"/>
  <c r="F929" i="4"/>
  <c r="F928" i="4"/>
  <c r="F927" i="4"/>
  <c r="F926" i="4"/>
  <c r="F925" i="4"/>
  <c r="F924" i="4"/>
  <c r="F923" i="4"/>
  <c r="F922" i="4"/>
  <c r="F921" i="4"/>
  <c r="F920" i="4"/>
  <c r="F919" i="4"/>
  <c r="F918" i="4"/>
  <c r="F917" i="4"/>
  <c r="F916" i="4"/>
  <c r="F915" i="4"/>
  <c r="F914" i="4"/>
  <c r="F913" i="4"/>
  <c r="F912" i="4"/>
  <c r="F911" i="4"/>
  <c r="F910" i="4"/>
  <c r="F909" i="4"/>
  <c r="F908" i="4"/>
  <c r="F907" i="4"/>
  <c r="F906" i="4"/>
  <c r="F905" i="4"/>
  <c r="F904" i="4"/>
  <c r="F903" i="4"/>
  <c r="F902" i="4"/>
  <c r="F901" i="4"/>
  <c r="F900" i="4"/>
  <c r="F899" i="4"/>
  <c r="F898" i="4"/>
  <c r="F897" i="4"/>
  <c r="F896" i="4"/>
  <c r="F895" i="4"/>
  <c r="F894" i="4"/>
  <c r="F893" i="4"/>
  <c r="F892" i="4"/>
  <c r="F891" i="4"/>
  <c r="F890" i="4"/>
  <c r="F889" i="4"/>
  <c r="F888" i="4"/>
  <c r="F887" i="4"/>
  <c r="F886" i="4"/>
  <c r="F885" i="4"/>
  <c r="F884" i="4"/>
  <c r="F883" i="4"/>
  <c r="F882" i="4"/>
  <c r="F881" i="4"/>
  <c r="F880" i="4"/>
  <c r="F879" i="4"/>
  <c r="F878" i="4"/>
  <c r="F877" i="4"/>
  <c r="F876" i="4"/>
  <c r="F875" i="4"/>
  <c r="F874" i="4"/>
  <c r="F873" i="4"/>
  <c r="F872" i="4"/>
  <c r="F871" i="4"/>
  <c r="F870" i="4"/>
  <c r="F869" i="4"/>
  <c r="F868" i="4"/>
  <c r="F867" i="4"/>
  <c r="F866" i="4"/>
  <c r="F865" i="4"/>
  <c r="F864" i="4"/>
  <c r="F863" i="4"/>
  <c r="F862" i="4"/>
  <c r="F861" i="4"/>
  <c r="F860" i="4"/>
  <c r="F859" i="4"/>
  <c r="F858" i="4"/>
  <c r="F857" i="4"/>
  <c r="F856" i="4"/>
  <c r="F855" i="4"/>
  <c r="F854" i="4"/>
  <c r="F853" i="4"/>
  <c r="F852" i="4"/>
  <c r="F851" i="4"/>
  <c r="F850" i="4"/>
  <c r="F849" i="4"/>
  <c r="F848" i="4"/>
  <c r="F847" i="4"/>
  <c r="F846" i="4"/>
  <c r="F845" i="4"/>
  <c r="F844" i="4"/>
  <c r="F843" i="4"/>
  <c r="F842" i="4"/>
  <c r="F841" i="4"/>
  <c r="F840" i="4"/>
  <c r="F839" i="4"/>
  <c r="F838" i="4"/>
  <c r="F837" i="4"/>
  <c r="F836" i="4"/>
  <c r="F835" i="4"/>
  <c r="F834" i="4"/>
  <c r="F833" i="4"/>
  <c r="F832" i="4"/>
  <c r="F831" i="4"/>
  <c r="F830" i="4"/>
  <c r="F829" i="4"/>
  <c r="F828" i="4"/>
  <c r="F827" i="4"/>
  <c r="F826" i="4"/>
  <c r="F825" i="4"/>
  <c r="F824" i="4"/>
  <c r="F823" i="4"/>
  <c r="F822" i="4"/>
  <c r="F821" i="4"/>
  <c r="F820" i="4"/>
  <c r="F819" i="4"/>
  <c r="F818" i="4"/>
  <c r="F817" i="4"/>
  <c r="F816" i="4"/>
  <c r="F815" i="4"/>
  <c r="F814" i="4"/>
  <c r="F813" i="4"/>
  <c r="F812" i="4"/>
  <c r="F811" i="4"/>
  <c r="F810" i="4"/>
  <c r="F809" i="4"/>
  <c r="F808" i="4"/>
  <c r="F807" i="4"/>
  <c r="F806" i="4"/>
  <c r="F805" i="4"/>
  <c r="F804" i="4"/>
  <c r="F803" i="4"/>
  <c r="F802" i="4"/>
  <c r="F801" i="4"/>
  <c r="F800" i="4"/>
  <c r="F799" i="4"/>
  <c r="F798" i="4"/>
  <c r="F797" i="4"/>
  <c r="F796" i="4"/>
  <c r="F795" i="4"/>
  <c r="F794" i="4"/>
  <c r="F793" i="4"/>
  <c r="F792" i="4"/>
  <c r="F791" i="4"/>
  <c r="F790" i="4"/>
  <c r="F789" i="4"/>
  <c r="F788" i="4"/>
  <c r="F787" i="4"/>
  <c r="F786" i="4"/>
  <c r="F785" i="4"/>
  <c r="F784" i="4"/>
  <c r="F783" i="4"/>
  <c r="F782" i="4"/>
  <c r="F781" i="4"/>
  <c r="F780" i="4"/>
  <c r="F779" i="4"/>
  <c r="F778" i="4"/>
  <c r="F777" i="4"/>
  <c r="F776" i="4"/>
  <c r="F775" i="4"/>
  <c r="F774" i="4"/>
  <c r="F773" i="4"/>
  <c r="F772" i="4"/>
  <c r="F771" i="4"/>
  <c r="F770" i="4"/>
  <c r="F769" i="4"/>
  <c r="F768" i="4"/>
  <c r="F767" i="4"/>
  <c r="F766" i="4"/>
  <c r="F765" i="4"/>
  <c r="F764" i="4"/>
  <c r="F763" i="4"/>
  <c r="F762" i="4"/>
  <c r="F761" i="4"/>
  <c r="F760" i="4"/>
  <c r="F759" i="4"/>
  <c r="F758" i="4"/>
  <c r="F757" i="4"/>
  <c r="F756" i="4"/>
  <c r="F755" i="4"/>
  <c r="F754" i="4"/>
  <c r="F753" i="4"/>
  <c r="F752" i="4"/>
  <c r="F751" i="4"/>
  <c r="F750" i="4"/>
  <c r="F749" i="4"/>
  <c r="F748" i="4"/>
  <c r="F747" i="4"/>
  <c r="F746" i="4"/>
  <c r="F745" i="4"/>
  <c r="F744" i="4"/>
  <c r="F743" i="4"/>
  <c r="F742" i="4"/>
  <c r="F741" i="4"/>
  <c r="F740" i="4"/>
  <c r="F739" i="4"/>
  <c r="F738" i="4"/>
  <c r="F737" i="4"/>
  <c r="F736" i="4"/>
  <c r="F735" i="4"/>
  <c r="F734" i="4"/>
  <c r="F733" i="4"/>
  <c r="F732" i="4"/>
  <c r="F731" i="4"/>
  <c r="F730" i="4"/>
  <c r="F729" i="4"/>
  <c r="F728" i="4"/>
  <c r="F727" i="4"/>
  <c r="F726" i="4"/>
  <c r="F725" i="4"/>
  <c r="F724" i="4"/>
  <c r="F723" i="4"/>
  <c r="F722" i="4"/>
  <c r="F721" i="4"/>
  <c r="F720" i="4"/>
  <c r="F719" i="4"/>
  <c r="F718" i="4"/>
  <c r="F717" i="4"/>
  <c r="F716" i="4"/>
  <c r="F715" i="4"/>
  <c r="F714" i="4"/>
  <c r="F713" i="4"/>
  <c r="F712" i="4"/>
  <c r="F711" i="4"/>
  <c r="F710" i="4"/>
  <c r="F709" i="4"/>
  <c r="F708" i="4"/>
  <c r="F707" i="4"/>
  <c r="F706" i="4"/>
  <c r="F705" i="4"/>
  <c r="F704" i="4"/>
  <c r="F703" i="4"/>
  <c r="F702" i="4"/>
  <c r="F701" i="4"/>
  <c r="F700" i="4"/>
  <c r="F699" i="4"/>
  <c r="F698" i="4"/>
  <c r="F697" i="4"/>
  <c r="F696" i="4"/>
  <c r="F695" i="4"/>
  <c r="F694" i="4"/>
  <c r="F693" i="4"/>
  <c r="F692" i="4"/>
  <c r="F691" i="4"/>
  <c r="F690" i="4"/>
  <c r="F689" i="4"/>
  <c r="F688" i="4"/>
  <c r="F687" i="4"/>
  <c r="F686" i="4"/>
  <c r="F685" i="4"/>
  <c r="F684" i="4"/>
  <c r="F683" i="4"/>
  <c r="F682" i="4"/>
  <c r="F681" i="4"/>
  <c r="F680" i="4"/>
  <c r="F679" i="4"/>
  <c r="F678" i="4"/>
  <c r="F677" i="4"/>
  <c r="F676" i="4"/>
  <c r="F675" i="4"/>
  <c r="F674" i="4"/>
  <c r="F673" i="4"/>
  <c r="F672" i="4"/>
  <c r="F671" i="4"/>
  <c r="F670" i="4"/>
  <c r="F669" i="4"/>
  <c r="F668" i="4"/>
  <c r="F667" i="4"/>
  <c r="F666" i="4"/>
  <c r="F665" i="4"/>
  <c r="F664" i="4"/>
  <c r="F663" i="4"/>
  <c r="F662" i="4"/>
  <c r="F661" i="4"/>
  <c r="F660" i="4"/>
  <c r="F659" i="4"/>
  <c r="F658" i="4"/>
  <c r="F657" i="4"/>
  <c r="F656" i="4"/>
  <c r="F655" i="4"/>
  <c r="F654" i="4"/>
  <c r="F653" i="4"/>
  <c r="F652" i="4"/>
  <c r="F651" i="4"/>
  <c r="F650" i="4"/>
  <c r="F649" i="4"/>
  <c r="F648" i="4"/>
  <c r="F647" i="4"/>
  <c r="F646" i="4"/>
  <c r="F645" i="4"/>
  <c r="F644" i="4"/>
  <c r="F643" i="4"/>
  <c r="F642" i="4"/>
  <c r="F641" i="4"/>
  <c r="F640" i="4"/>
  <c r="F639" i="4"/>
  <c r="F638" i="4"/>
  <c r="F637" i="4"/>
  <c r="F636" i="4"/>
  <c r="F635" i="4"/>
  <c r="F634" i="4"/>
  <c r="F633" i="4"/>
  <c r="F632" i="4"/>
  <c r="F631" i="4"/>
  <c r="F630" i="4"/>
  <c r="F629" i="4"/>
  <c r="F628" i="4"/>
  <c r="F627" i="4"/>
  <c r="F626" i="4"/>
  <c r="F625" i="4"/>
  <c r="F624" i="4"/>
  <c r="F623" i="4"/>
  <c r="F622" i="4"/>
  <c r="F621" i="4"/>
  <c r="F620" i="4"/>
  <c r="F619" i="4"/>
  <c r="F618" i="4"/>
  <c r="F617" i="4"/>
  <c r="F616" i="4"/>
  <c r="F615" i="4"/>
  <c r="F614" i="4"/>
  <c r="F613" i="4"/>
  <c r="F612" i="4"/>
  <c r="F611" i="4"/>
  <c r="F610" i="4"/>
  <c r="F609" i="4"/>
  <c r="F608" i="4"/>
  <c r="F607" i="4"/>
  <c r="F606" i="4"/>
  <c r="F605" i="4"/>
  <c r="F604" i="4"/>
  <c r="F603" i="4"/>
  <c r="F602" i="4"/>
  <c r="F601" i="4"/>
  <c r="F600" i="4"/>
  <c r="F599" i="4"/>
  <c r="F598" i="4"/>
  <c r="F597" i="4"/>
  <c r="F596" i="4"/>
  <c r="F595" i="4"/>
  <c r="F594" i="4"/>
  <c r="F593" i="4"/>
  <c r="F592" i="4"/>
  <c r="F591" i="4"/>
  <c r="F590" i="4"/>
  <c r="A590" i="4"/>
  <c r="A591" i="4" s="1"/>
  <c r="A592" i="4" s="1"/>
  <c r="A593" i="4" s="1"/>
  <c r="A594" i="4" s="1"/>
  <c r="A595" i="4" s="1"/>
  <c r="A596" i="4" s="1"/>
  <c r="A597" i="4" s="1"/>
  <c r="A598" i="4" s="1"/>
  <c r="A599" i="4" s="1"/>
  <c r="A600" i="4" s="1"/>
  <c r="A601" i="4" s="1"/>
  <c r="A602" i="4" s="1"/>
  <c r="A603" i="4" s="1"/>
  <c r="A604" i="4" s="1"/>
  <c r="A605" i="4" s="1"/>
  <c r="A606" i="4" s="1"/>
  <c r="A607" i="4" s="1"/>
  <c r="A608" i="4" s="1"/>
  <c r="A609" i="4" s="1"/>
  <c r="A610" i="4" s="1"/>
  <c r="A611" i="4" s="1"/>
  <c r="A612" i="4" s="1"/>
  <c r="A613" i="4" s="1"/>
  <c r="A614" i="4" s="1"/>
  <c r="A615" i="4" s="1"/>
  <c r="A616" i="4" s="1"/>
  <c r="A617" i="4" s="1"/>
  <c r="A618" i="4" s="1"/>
  <c r="A619" i="4" s="1"/>
  <c r="A620" i="4" s="1"/>
  <c r="A621" i="4" s="1"/>
  <c r="A622" i="4" s="1"/>
  <c r="A623" i="4" s="1"/>
  <c r="A624" i="4" s="1"/>
  <c r="A625" i="4" s="1"/>
  <c r="A626" i="4" s="1"/>
  <c r="A627" i="4" s="1"/>
  <c r="A628" i="4" s="1"/>
  <c r="A629" i="4" s="1"/>
  <c r="A630" i="4" s="1"/>
  <c r="A631" i="4" s="1"/>
  <c r="A632" i="4" s="1"/>
  <c r="A633" i="4" s="1"/>
  <c r="A634" i="4" s="1"/>
  <c r="A635" i="4" s="1"/>
  <c r="A636" i="4" s="1"/>
  <c r="A637" i="4" s="1"/>
  <c r="A638" i="4" s="1"/>
  <c r="A639" i="4" s="1"/>
  <c r="A640" i="4" s="1"/>
  <c r="A641" i="4" s="1"/>
  <c r="A642" i="4" s="1"/>
  <c r="A643" i="4" s="1"/>
  <c r="A644" i="4" s="1"/>
  <c r="A645" i="4" s="1"/>
  <c r="A646" i="4" s="1"/>
  <c r="A647" i="4" s="1"/>
  <c r="A648" i="4" s="1"/>
  <c r="A649" i="4" s="1"/>
  <c r="A650" i="4" s="1"/>
  <c r="A651" i="4" s="1"/>
  <c r="A652" i="4" s="1"/>
  <c r="A653" i="4" s="1"/>
  <c r="A654" i="4" s="1"/>
  <c r="A655" i="4" s="1"/>
  <c r="A656" i="4" s="1"/>
  <c r="A657" i="4" s="1"/>
  <c r="A658" i="4" s="1"/>
  <c r="A659" i="4" s="1"/>
  <c r="A660" i="4" s="1"/>
  <c r="A661" i="4" s="1"/>
  <c r="A662" i="4" s="1"/>
  <c r="A663" i="4" s="1"/>
  <c r="A664" i="4" s="1"/>
  <c r="A665" i="4" s="1"/>
  <c r="A666" i="4" s="1"/>
  <c r="A667" i="4" s="1"/>
  <c r="A668" i="4" s="1"/>
  <c r="A669" i="4" s="1"/>
  <c r="A670" i="4" s="1"/>
  <c r="A671" i="4" s="1"/>
  <c r="A672" i="4" s="1"/>
  <c r="A673" i="4" s="1"/>
  <c r="A674" i="4" s="1"/>
  <c r="A675" i="4" s="1"/>
  <c r="A676" i="4" s="1"/>
  <c r="A677" i="4" s="1"/>
  <c r="A678" i="4" s="1"/>
  <c r="A679" i="4" s="1"/>
  <c r="A680" i="4" s="1"/>
  <c r="A681" i="4" s="1"/>
  <c r="A682" i="4" s="1"/>
  <c r="A683" i="4" s="1"/>
  <c r="A684" i="4" s="1"/>
  <c r="A685" i="4" s="1"/>
  <c r="A686" i="4" s="1"/>
  <c r="A687" i="4" s="1"/>
  <c r="A688" i="4" s="1"/>
  <c r="A689" i="4" s="1"/>
  <c r="A690" i="4" s="1"/>
  <c r="A691" i="4" s="1"/>
  <c r="A692" i="4" s="1"/>
  <c r="A693" i="4" s="1"/>
  <c r="A694" i="4" s="1"/>
  <c r="A695" i="4" s="1"/>
  <c r="A696" i="4" s="1"/>
  <c r="A697" i="4" s="1"/>
  <c r="A698" i="4" s="1"/>
  <c r="A699" i="4" s="1"/>
  <c r="A700" i="4" s="1"/>
  <c r="A701" i="4" s="1"/>
  <c r="A702" i="4" s="1"/>
  <c r="A703" i="4" s="1"/>
  <c r="A704" i="4" s="1"/>
  <c r="A705" i="4" s="1"/>
  <c r="A706" i="4" s="1"/>
  <c r="A707" i="4" s="1"/>
  <c r="A708" i="4" s="1"/>
  <c r="A709" i="4" s="1"/>
  <c r="A710" i="4" s="1"/>
  <c r="A711" i="4" s="1"/>
  <c r="A712" i="4" s="1"/>
  <c r="A713" i="4" s="1"/>
  <c r="A714" i="4" s="1"/>
  <c r="A715" i="4" s="1"/>
  <c r="A716" i="4" s="1"/>
  <c r="A717" i="4" s="1"/>
  <c r="A718" i="4" s="1"/>
  <c r="A719" i="4" s="1"/>
  <c r="A720" i="4" s="1"/>
  <c r="A721" i="4" s="1"/>
  <c r="A722" i="4" s="1"/>
  <c r="A723" i="4" s="1"/>
  <c r="A724" i="4" s="1"/>
  <c r="A725" i="4" s="1"/>
  <c r="A726" i="4" s="1"/>
  <c r="A727" i="4" s="1"/>
  <c r="A728" i="4" s="1"/>
  <c r="A729" i="4" s="1"/>
  <c r="A730" i="4" s="1"/>
  <c r="A731" i="4" s="1"/>
  <c r="A732" i="4" s="1"/>
  <c r="A733" i="4" s="1"/>
  <c r="A734" i="4" s="1"/>
  <c r="A735" i="4" s="1"/>
  <c r="A736" i="4" s="1"/>
  <c r="A737" i="4" s="1"/>
  <c r="A738" i="4" s="1"/>
  <c r="A739" i="4" s="1"/>
  <c r="A740" i="4" s="1"/>
  <c r="A741" i="4" s="1"/>
  <c r="A742" i="4" s="1"/>
  <c r="A743" i="4" s="1"/>
  <c r="A744" i="4" s="1"/>
  <c r="A745" i="4" s="1"/>
  <c r="A746" i="4" s="1"/>
  <c r="A747" i="4" s="1"/>
  <c r="A748" i="4" s="1"/>
  <c r="A749" i="4" s="1"/>
  <c r="A750" i="4" s="1"/>
  <c r="A751" i="4" s="1"/>
  <c r="A752" i="4" s="1"/>
  <c r="A753" i="4" s="1"/>
  <c r="A754" i="4" s="1"/>
  <c r="A755" i="4" s="1"/>
  <c r="A756" i="4" s="1"/>
  <c r="A757" i="4" s="1"/>
  <c r="A758" i="4" s="1"/>
  <c r="A759" i="4" s="1"/>
  <c r="A760" i="4" s="1"/>
  <c r="A761" i="4" s="1"/>
  <c r="A762" i="4" s="1"/>
  <c r="A763" i="4" s="1"/>
  <c r="A764" i="4" s="1"/>
  <c r="A765" i="4" s="1"/>
  <c r="A766" i="4" s="1"/>
  <c r="A767" i="4" s="1"/>
  <c r="A768" i="4" s="1"/>
  <c r="A769" i="4" s="1"/>
  <c r="A770" i="4" s="1"/>
  <c r="A771" i="4" s="1"/>
  <c r="A772" i="4" s="1"/>
  <c r="A773" i="4" s="1"/>
  <c r="A774" i="4" s="1"/>
  <c r="A775" i="4" s="1"/>
  <c r="A776" i="4" s="1"/>
  <c r="A777" i="4" s="1"/>
  <c r="A778" i="4" s="1"/>
  <c r="A779" i="4" s="1"/>
  <c r="A780" i="4" s="1"/>
  <c r="A781" i="4" s="1"/>
  <c r="A782" i="4" s="1"/>
  <c r="A783" i="4" s="1"/>
  <c r="A784" i="4" s="1"/>
  <c r="A785" i="4" s="1"/>
  <c r="A786" i="4" s="1"/>
  <c r="A787" i="4" s="1"/>
  <c r="A788" i="4" s="1"/>
  <c r="A789" i="4" s="1"/>
  <c r="A790" i="4" s="1"/>
  <c r="A791" i="4" s="1"/>
  <c r="A792" i="4" s="1"/>
  <c r="A793" i="4" s="1"/>
  <c r="A794" i="4" s="1"/>
  <c r="A795" i="4" s="1"/>
  <c r="A796" i="4" s="1"/>
  <c r="A797" i="4" s="1"/>
  <c r="A798" i="4" s="1"/>
  <c r="A799" i="4" s="1"/>
  <c r="A800" i="4" s="1"/>
  <c r="A801" i="4" s="1"/>
  <c r="A802" i="4" s="1"/>
  <c r="A803" i="4" s="1"/>
  <c r="A804" i="4" s="1"/>
  <c r="A805" i="4" s="1"/>
  <c r="A806" i="4" s="1"/>
  <c r="A807" i="4" s="1"/>
  <c r="A808" i="4" s="1"/>
  <c r="A809" i="4" s="1"/>
  <c r="A810" i="4" s="1"/>
  <c r="A811" i="4" s="1"/>
  <c r="A812" i="4" s="1"/>
  <c r="A813" i="4" s="1"/>
  <c r="A814" i="4" s="1"/>
  <c r="A815" i="4" s="1"/>
  <c r="A816" i="4" s="1"/>
  <c r="A817" i="4" s="1"/>
  <c r="A818" i="4" s="1"/>
  <c r="A819" i="4" s="1"/>
  <c r="A820" i="4" s="1"/>
  <c r="A821" i="4" s="1"/>
  <c r="A822" i="4" s="1"/>
  <c r="A823" i="4" s="1"/>
  <c r="A824" i="4" s="1"/>
  <c r="A825" i="4" s="1"/>
  <c r="A826" i="4" s="1"/>
  <c r="A827" i="4" s="1"/>
  <c r="A828" i="4" s="1"/>
  <c r="A829" i="4" s="1"/>
  <c r="A830" i="4" s="1"/>
  <c r="A831" i="4" s="1"/>
  <c r="A832" i="4" s="1"/>
  <c r="A833" i="4" s="1"/>
  <c r="A834" i="4" s="1"/>
  <c r="A835" i="4" s="1"/>
  <c r="A836" i="4" s="1"/>
  <c r="A837" i="4" s="1"/>
  <c r="A838" i="4" s="1"/>
  <c r="A839" i="4" s="1"/>
  <c r="A840" i="4" s="1"/>
  <c r="A841" i="4" s="1"/>
  <c r="A842" i="4" s="1"/>
  <c r="A843" i="4" s="1"/>
  <c r="A844" i="4" s="1"/>
  <c r="A845" i="4" s="1"/>
  <c r="A846" i="4" s="1"/>
  <c r="A847" i="4" s="1"/>
  <c r="A848" i="4" s="1"/>
  <c r="A849" i="4" s="1"/>
  <c r="A850" i="4" s="1"/>
  <c r="A851" i="4" s="1"/>
  <c r="A852" i="4" s="1"/>
  <c r="A853" i="4" s="1"/>
  <c r="A854" i="4" s="1"/>
  <c r="A855" i="4" s="1"/>
  <c r="A856" i="4" s="1"/>
  <c r="A857" i="4" s="1"/>
  <c r="A858" i="4" s="1"/>
  <c r="A859" i="4" s="1"/>
  <c r="A860" i="4" s="1"/>
  <c r="A861" i="4" s="1"/>
  <c r="A862" i="4" s="1"/>
  <c r="A863" i="4" s="1"/>
  <c r="A864" i="4" s="1"/>
  <c r="A865" i="4" s="1"/>
  <c r="A866" i="4" s="1"/>
  <c r="A867" i="4" s="1"/>
  <c r="A868" i="4" s="1"/>
  <c r="A869" i="4" s="1"/>
  <c r="A870" i="4" s="1"/>
  <c r="A871" i="4" s="1"/>
  <c r="A872" i="4" s="1"/>
  <c r="A873" i="4" s="1"/>
  <c r="A874" i="4" s="1"/>
  <c r="A875" i="4" s="1"/>
  <c r="A876" i="4" s="1"/>
  <c r="A877" i="4" s="1"/>
  <c r="A878" i="4" s="1"/>
  <c r="A879" i="4" s="1"/>
  <c r="A880" i="4" s="1"/>
  <c r="A881" i="4" s="1"/>
  <c r="A882" i="4" s="1"/>
  <c r="A883" i="4" s="1"/>
  <c r="A884" i="4" s="1"/>
  <c r="A885" i="4" s="1"/>
  <c r="A886" i="4" s="1"/>
  <c r="A887" i="4" s="1"/>
  <c r="A888" i="4" s="1"/>
  <c r="A889" i="4" s="1"/>
  <c r="A890" i="4" s="1"/>
  <c r="A891" i="4" s="1"/>
  <c r="A892" i="4" s="1"/>
  <c r="A893" i="4" s="1"/>
  <c r="A894" i="4" s="1"/>
  <c r="A895" i="4" s="1"/>
  <c r="A896" i="4" s="1"/>
  <c r="A897" i="4" s="1"/>
  <c r="A898" i="4" s="1"/>
  <c r="A899" i="4" s="1"/>
  <c r="A900" i="4" s="1"/>
  <c r="A901" i="4" s="1"/>
  <c r="A902" i="4" s="1"/>
  <c r="A903" i="4" s="1"/>
  <c r="A904" i="4" s="1"/>
  <c r="A905" i="4" s="1"/>
  <c r="A906" i="4" s="1"/>
  <c r="A907" i="4" s="1"/>
  <c r="A908" i="4" s="1"/>
  <c r="A909" i="4" s="1"/>
  <c r="A910" i="4" s="1"/>
  <c r="A911" i="4" s="1"/>
  <c r="A912" i="4" s="1"/>
  <c r="A913" i="4" s="1"/>
  <c r="A914" i="4" s="1"/>
  <c r="A915" i="4" s="1"/>
  <c r="A916" i="4" s="1"/>
  <c r="A917" i="4" s="1"/>
  <c r="A918" i="4" s="1"/>
  <c r="A919" i="4" s="1"/>
  <c r="A920" i="4" s="1"/>
  <c r="A921" i="4" s="1"/>
  <c r="A922" i="4" s="1"/>
  <c r="A923" i="4" s="1"/>
  <c r="A924" i="4" s="1"/>
  <c r="A925" i="4" s="1"/>
  <c r="A926" i="4" s="1"/>
  <c r="A927" i="4" s="1"/>
  <c r="A928" i="4" s="1"/>
  <c r="A929" i="4" s="1"/>
  <c r="A930" i="4" s="1"/>
  <c r="A931" i="4" s="1"/>
  <c r="A932" i="4" s="1"/>
  <c r="A933" i="4" s="1"/>
  <c r="A934" i="4" s="1"/>
  <c r="A935" i="4" s="1"/>
  <c r="A936" i="4" s="1"/>
  <c r="A937" i="4" s="1"/>
  <c r="A938" i="4" s="1"/>
  <c r="A939" i="4" s="1"/>
  <c r="A940" i="4" s="1"/>
  <c r="A941" i="4" s="1"/>
  <c r="A942" i="4" s="1"/>
  <c r="A943" i="4" s="1"/>
  <c r="A944" i="4" s="1"/>
  <c r="A945" i="4" s="1"/>
  <c r="A946" i="4" s="1"/>
  <c r="A947" i="4" s="1"/>
  <c r="A948" i="4" s="1"/>
  <c r="A949" i="4" s="1"/>
  <c r="A950" i="4" s="1"/>
  <c r="A951" i="4" s="1"/>
  <c r="A952" i="4" s="1"/>
  <c r="A953" i="4" s="1"/>
  <c r="A954" i="4" s="1"/>
  <c r="A955" i="4" s="1"/>
  <c r="A956" i="4" s="1"/>
  <c r="A957" i="4" s="1"/>
  <c r="A958" i="4" s="1"/>
  <c r="A959" i="4" s="1"/>
  <c r="A960" i="4" s="1"/>
  <c r="A961" i="4" s="1"/>
  <c r="A962" i="4" s="1"/>
  <c r="A963" i="4" s="1"/>
  <c r="A964" i="4" s="1"/>
  <c r="A965" i="4" s="1"/>
  <c r="A966" i="4" s="1"/>
  <c r="A967" i="4" s="1"/>
  <c r="A968" i="4" s="1"/>
  <c r="A969" i="4" s="1"/>
  <c r="A970" i="4" s="1"/>
  <c r="A971" i="4" s="1"/>
  <c r="A972" i="4" s="1"/>
  <c r="A973" i="4" s="1"/>
  <c r="A974" i="4" s="1"/>
  <c r="A975" i="4" s="1"/>
  <c r="A976" i="4" s="1"/>
  <c r="A977" i="4" s="1"/>
  <c r="A978" i="4" s="1"/>
  <c r="A979" i="4" s="1"/>
  <c r="A980" i="4" s="1"/>
  <c r="A981" i="4" s="1"/>
  <c r="A982" i="4" s="1"/>
  <c r="A983" i="4" s="1"/>
  <c r="A984" i="4" s="1"/>
  <c r="A985" i="4" s="1"/>
  <c r="A986" i="4" s="1"/>
  <c r="A987" i="4" s="1"/>
  <c r="A988" i="4" s="1"/>
  <c r="A989" i="4" s="1"/>
  <c r="A990" i="4" s="1"/>
  <c r="A991" i="4" s="1"/>
  <c r="A992" i="4" s="1"/>
  <c r="A993" i="4" s="1"/>
  <c r="A994" i="4" s="1"/>
  <c r="A995" i="4" s="1"/>
  <c r="A996" i="4" s="1"/>
  <c r="A997" i="4" s="1"/>
  <c r="A998" i="4" s="1"/>
  <c r="A999" i="4" s="1"/>
  <c r="A1000" i="4" s="1"/>
  <c r="A1001" i="4" s="1"/>
  <c r="A1002" i="4" s="1"/>
  <c r="A1003" i="4" s="1"/>
  <c r="A1004" i="4" s="1"/>
  <c r="A1005" i="4" s="1"/>
  <c r="A1006" i="4" s="1"/>
  <c r="A1007" i="4" s="1"/>
  <c r="A1008" i="4" s="1"/>
  <c r="A1009" i="4" s="1"/>
  <c r="A1010" i="4" s="1"/>
  <c r="A1011" i="4" s="1"/>
  <c r="A1012" i="4" s="1"/>
  <c r="A1013" i="4" s="1"/>
  <c r="A1014" i="4" s="1"/>
  <c r="A1015" i="4" s="1"/>
  <c r="A1016" i="4" s="1"/>
  <c r="A1017" i="4" s="1"/>
  <c r="A1018" i="4" s="1"/>
  <c r="A1019" i="4" s="1"/>
  <c r="A1020" i="4" s="1"/>
  <c r="A1021" i="4" s="1"/>
  <c r="A1022" i="4" s="1"/>
  <c r="A1023" i="4" s="1"/>
  <c r="A1024" i="4" s="1"/>
  <c r="F589" i="4"/>
  <c r="F588" i="4"/>
  <c r="F587" i="4"/>
  <c r="F586" i="4"/>
  <c r="F585" i="4"/>
  <c r="F584" i="4"/>
  <c r="F583" i="4"/>
  <c r="F582" i="4"/>
  <c r="F581" i="4"/>
  <c r="F580" i="4"/>
  <c r="F579" i="4"/>
  <c r="F578" i="4"/>
  <c r="F577" i="4"/>
  <c r="F576" i="4"/>
  <c r="F575" i="4"/>
  <c r="F574" i="4"/>
  <c r="F573" i="4"/>
  <c r="F572" i="4"/>
  <c r="F571" i="4"/>
  <c r="F570" i="4"/>
  <c r="F569" i="4"/>
  <c r="F568" i="4"/>
  <c r="F567" i="4"/>
  <c r="F566" i="4"/>
  <c r="F565" i="4"/>
  <c r="F564" i="4"/>
  <c r="F563" i="4"/>
  <c r="F562" i="4"/>
  <c r="F561" i="4"/>
  <c r="F560" i="4"/>
  <c r="F559" i="4"/>
  <c r="F558" i="4"/>
  <c r="F557" i="4"/>
  <c r="F556" i="4"/>
  <c r="F555" i="4"/>
  <c r="F554" i="4"/>
  <c r="F553" i="4"/>
  <c r="F552" i="4"/>
  <c r="F551" i="4"/>
  <c r="F550" i="4"/>
  <c r="F549" i="4"/>
  <c r="F548" i="4"/>
  <c r="F547" i="4"/>
  <c r="F546" i="4"/>
  <c r="F545" i="4"/>
  <c r="F544" i="4"/>
  <c r="F543" i="4"/>
  <c r="F542" i="4"/>
  <c r="F541" i="4"/>
  <c r="F540" i="4"/>
  <c r="F539" i="4"/>
  <c r="F538" i="4"/>
  <c r="F537" i="4"/>
  <c r="F536" i="4"/>
  <c r="F535" i="4"/>
  <c r="F534" i="4"/>
  <c r="F533" i="4"/>
  <c r="F532" i="4"/>
  <c r="F531" i="4"/>
  <c r="F530" i="4"/>
  <c r="F529" i="4"/>
  <c r="F528" i="4"/>
  <c r="F527" i="4"/>
  <c r="F526" i="4"/>
  <c r="F525" i="4"/>
  <c r="F524" i="4"/>
  <c r="F523" i="4"/>
  <c r="F522" i="4"/>
  <c r="F521" i="4"/>
  <c r="F520" i="4"/>
  <c r="F519" i="4"/>
  <c r="F518" i="4"/>
  <c r="F517" i="4"/>
  <c r="F516" i="4"/>
  <c r="F515" i="4"/>
  <c r="F514" i="4"/>
  <c r="F513" i="4"/>
  <c r="F512" i="4"/>
  <c r="F511" i="4"/>
  <c r="F510" i="4"/>
  <c r="F509" i="4"/>
  <c r="F508" i="4"/>
  <c r="F507" i="4"/>
  <c r="F506" i="4"/>
  <c r="F505" i="4"/>
  <c r="F504" i="4"/>
  <c r="F503" i="4"/>
  <c r="F502" i="4"/>
  <c r="F501" i="4"/>
  <c r="F500" i="4"/>
  <c r="F499" i="4"/>
  <c r="F498" i="4"/>
  <c r="F497" i="4"/>
  <c r="F496" i="4"/>
  <c r="F495" i="4"/>
  <c r="F494" i="4"/>
  <c r="F493" i="4"/>
  <c r="F492" i="4"/>
  <c r="F491" i="4"/>
  <c r="F490" i="4"/>
  <c r="F489" i="4"/>
  <c r="F488" i="4"/>
  <c r="F487" i="4"/>
  <c r="F486" i="4"/>
  <c r="F485" i="4"/>
  <c r="F484" i="4"/>
  <c r="F483" i="4"/>
  <c r="F482" i="4"/>
  <c r="F481" i="4"/>
  <c r="F480" i="4"/>
  <c r="F479" i="4"/>
  <c r="F478" i="4"/>
  <c r="F477" i="4"/>
  <c r="F476" i="4"/>
  <c r="F475" i="4"/>
  <c r="F474" i="4"/>
  <c r="F473" i="4"/>
  <c r="F472" i="4"/>
  <c r="F471" i="4"/>
  <c r="F470" i="4"/>
  <c r="F469" i="4"/>
  <c r="F468" i="4"/>
  <c r="F467" i="4"/>
  <c r="F466" i="4"/>
  <c r="F465" i="4"/>
  <c r="F464" i="4"/>
  <c r="F463" i="4"/>
  <c r="F462" i="4"/>
  <c r="F461" i="4"/>
  <c r="F460" i="4"/>
  <c r="F459" i="4"/>
  <c r="F458" i="4"/>
  <c r="F457" i="4"/>
  <c r="F456" i="4"/>
  <c r="F455" i="4"/>
  <c r="F454" i="4"/>
  <c r="F453" i="4"/>
  <c r="F452" i="4"/>
  <c r="F451" i="4"/>
  <c r="F450" i="4"/>
  <c r="F449" i="4"/>
  <c r="F448" i="4"/>
  <c r="F447" i="4"/>
  <c r="F446" i="4"/>
  <c r="F445" i="4"/>
  <c r="F444" i="4"/>
  <c r="F443" i="4"/>
  <c r="F442" i="4"/>
  <c r="F441" i="4"/>
  <c r="F440" i="4"/>
  <c r="F439" i="4"/>
  <c r="F438" i="4"/>
  <c r="F437" i="4"/>
  <c r="F436" i="4"/>
  <c r="F435" i="4"/>
  <c r="F434" i="4"/>
  <c r="F433" i="4"/>
  <c r="F432" i="4"/>
  <c r="F431" i="4"/>
  <c r="F430" i="4"/>
  <c r="F429" i="4"/>
  <c r="F428" i="4"/>
  <c r="F427" i="4"/>
  <c r="F426" i="4"/>
  <c r="F425" i="4"/>
  <c r="F424" i="4"/>
  <c r="F423" i="4"/>
  <c r="F422" i="4"/>
  <c r="F421" i="4"/>
  <c r="F420" i="4"/>
  <c r="F419" i="4"/>
  <c r="F418" i="4"/>
  <c r="F417" i="4"/>
  <c r="F416" i="4"/>
  <c r="F415" i="4"/>
  <c r="F414" i="4"/>
  <c r="F413" i="4"/>
  <c r="F412" i="4"/>
  <c r="F411" i="4"/>
  <c r="F410" i="4"/>
  <c r="F409" i="4"/>
  <c r="F408" i="4"/>
  <c r="F407" i="4"/>
  <c r="F406" i="4"/>
  <c r="F405" i="4"/>
  <c r="F404" i="4"/>
  <c r="F403" i="4"/>
  <c r="F402" i="4"/>
  <c r="F401" i="4"/>
  <c r="F400" i="4"/>
  <c r="F399" i="4"/>
  <c r="F398" i="4"/>
  <c r="F397" i="4"/>
  <c r="F396" i="4"/>
  <c r="F395" i="4"/>
  <c r="F394" i="4"/>
  <c r="F393" i="4"/>
  <c r="F392" i="4"/>
  <c r="F391" i="4"/>
  <c r="F390" i="4"/>
  <c r="F389" i="4"/>
  <c r="F388" i="4"/>
  <c r="F387" i="4"/>
  <c r="F386" i="4"/>
  <c r="F385" i="4"/>
  <c r="F384" i="4"/>
  <c r="F383" i="4"/>
  <c r="F382" i="4"/>
  <c r="F381" i="4"/>
  <c r="F380" i="4"/>
  <c r="F379" i="4"/>
  <c r="F378" i="4"/>
  <c r="F377" i="4"/>
  <c r="F376" i="4"/>
  <c r="F375" i="4"/>
  <c r="F374" i="4"/>
  <c r="F373" i="4"/>
  <c r="F372" i="4"/>
  <c r="F371" i="4"/>
  <c r="F370" i="4"/>
  <c r="F369" i="4"/>
  <c r="F368" i="4"/>
  <c r="F367" i="4"/>
  <c r="F366" i="4"/>
  <c r="F365" i="4"/>
  <c r="F364" i="4"/>
  <c r="F363" i="4"/>
  <c r="F362" i="4"/>
  <c r="F361" i="4"/>
  <c r="F360" i="4"/>
  <c r="F359" i="4"/>
  <c r="F358" i="4"/>
  <c r="F357" i="4"/>
  <c r="F356" i="4"/>
  <c r="F355" i="4"/>
  <c r="F354" i="4"/>
  <c r="F353" i="4"/>
  <c r="F352" i="4"/>
  <c r="F351" i="4"/>
  <c r="F350" i="4"/>
  <c r="F349" i="4"/>
  <c r="F348" i="4"/>
  <c r="F347" i="4"/>
  <c r="F346" i="4"/>
  <c r="F345" i="4"/>
  <c r="F344" i="4"/>
  <c r="F343" i="4"/>
  <c r="F342" i="4"/>
  <c r="F341" i="4"/>
  <c r="F340" i="4"/>
  <c r="F339" i="4"/>
  <c r="F338" i="4"/>
  <c r="F337" i="4"/>
  <c r="F336" i="4"/>
  <c r="F335" i="4"/>
  <c r="F334" i="4"/>
  <c r="F333" i="4"/>
  <c r="F332" i="4"/>
  <c r="F331" i="4"/>
  <c r="F330" i="4"/>
  <c r="F329" i="4"/>
  <c r="F328" i="4"/>
  <c r="F327" i="4"/>
  <c r="F326" i="4"/>
  <c r="F325" i="4"/>
  <c r="F324" i="4"/>
  <c r="F323" i="4"/>
  <c r="F322" i="4"/>
  <c r="F321" i="4"/>
  <c r="F320" i="4"/>
  <c r="F319" i="4"/>
  <c r="F318" i="4"/>
  <c r="F317" i="4"/>
  <c r="F316" i="4"/>
  <c r="F315" i="4"/>
  <c r="F314" i="4"/>
  <c r="F313" i="4"/>
  <c r="F312" i="4"/>
  <c r="F311" i="4"/>
  <c r="F310" i="4"/>
  <c r="F309" i="4"/>
  <c r="F308" i="4"/>
  <c r="F307" i="4"/>
  <c r="F306" i="4"/>
  <c r="F305" i="4"/>
  <c r="F304" i="4"/>
  <c r="F303" i="4"/>
  <c r="F302" i="4"/>
  <c r="F301" i="4"/>
  <c r="F300" i="4"/>
  <c r="F299" i="4"/>
  <c r="F298" i="4"/>
  <c r="F297" i="4"/>
  <c r="F296" i="4"/>
  <c r="F295" i="4"/>
  <c r="F294" i="4"/>
  <c r="F293" i="4"/>
  <c r="F292" i="4"/>
  <c r="F291" i="4"/>
  <c r="F290" i="4"/>
  <c r="F289" i="4"/>
  <c r="F288" i="4"/>
  <c r="F287" i="4"/>
  <c r="F286" i="4"/>
  <c r="F285" i="4"/>
  <c r="F284" i="4"/>
  <c r="F283" i="4"/>
  <c r="F282" i="4"/>
  <c r="F281" i="4"/>
  <c r="F280" i="4"/>
  <c r="F279" i="4"/>
  <c r="F278" i="4"/>
  <c r="F277" i="4"/>
  <c r="F276" i="4"/>
  <c r="F275" i="4"/>
  <c r="F274" i="4"/>
  <c r="F273" i="4"/>
  <c r="F272" i="4"/>
  <c r="F271" i="4"/>
  <c r="F270" i="4"/>
  <c r="F269" i="4"/>
  <c r="F268" i="4"/>
  <c r="F267" i="4"/>
  <c r="F266" i="4"/>
  <c r="F265" i="4"/>
  <c r="F264" i="4"/>
  <c r="F263" i="4"/>
  <c r="F262" i="4"/>
  <c r="F261" i="4"/>
  <c r="F260" i="4"/>
  <c r="F259" i="4"/>
  <c r="F258" i="4"/>
  <c r="F257" i="4"/>
  <c r="F256" i="4"/>
  <c r="F255" i="4"/>
  <c r="F254" i="4"/>
  <c r="F253" i="4"/>
  <c r="F252" i="4"/>
  <c r="F251" i="4"/>
  <c r="F250" i="4"/>
  <c r="F249" i="4"/>
  <c r="F248" i="4"/>
  <c r="F247" i="4"/>
  <c r="F246" i="4"/>
  <c r="F245" i="4"/>
  <c r="F244" i="4"/>
  <c r="F243" i="4"/>
  <c r="F242" i="4"/>
  <c r="F241" i="4"/>
  <c r="F240" i="4"/>
  <c r="F239" i="4"/>
  <c r="F238" i="4"/>
  <c r="F237" i="4"/>
  <c r="F236" i="4"/>
  <c r="F235" i="4"/>
  <c r="F234" i="4"/>
  <c r="F233" i="4"/>
  <c r="F232" i="4"/>
  <c r="F231" i="4"/>
  <c r="F230" i="4"/>
  <c r="F229" i="4"/>
  <c r="F228" i="4"/>
  <c r="F227" i="4"/>
  <c r="F226" i="4"/>
  <c r="F225" i="4"/>
  <c r="F224" i="4"/>
  <c r="F223" i="4"/>
  <c r="F222" i="4"/>
  <c r="F221" i="4"/>
  <c r="F220" i="4"/>
  <c r="F219" i="4"/>
  <c r="F218" i="4"/>
  <c r="F217" i="4"/>
  <c r="F216" i="4"/>
  <c r="F215" i="4"/>
  <c r="F214" i="4"/>
  <c r="F213" i="4"/>
  <c r="F212" i="4"/>
  <c r="F211" i="4"/>
  <c r="F210" i="4"/>
  <c r="F209" i="4"/>
  <c r="F208" i="4"/>
  <c r="F207" i="4"/>
  <c r="F206" i="4"/>
  <c r="F205" i="4"/>
  <c r="F204" i="4"/>
  <c r="F203" i="4"/>
  <c r="F202" i="4"/>
  <c r="F201" i="4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2" i="4"/>
  <c r="F181" i="4"/>
  <c r="F180" i="4"/>
  <c r="F179" i="4"/>
  <c r="F178" i="4"/>
  <c r="F177" i="4"/>
  <c r="F176" i="4"/>
  <c r="F175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A1025" i="4" l="1"/>
  <c r="A1026" i="4" s="1"/>
  <c r="A1027" i="4" s="1"/>
  <c r="A1028" i="4" s="1"/>
  <c r="A1029" i="4" s="1"/>
  <c r="A1030" i="4" s="1"/>
  <c r="A1031" i="4" s="1"/>
  <c r="A1032" i="4" s="1"/>
  <c r="A1033" i="4" s="1"/>
  <c r="A1034" i="4" s="1"/>
  <c r="A1035" i="4" s="1"/>
  <c r="A1036" i="4" s="1"/>
  <c r="A1037" i="4" s="1"/>
  <c r="A1038" i="4" s="1"/>
  <c r="A1039" i="4" s="1"/>
  <c r="A1040" i="4" s="1"/>
  <c r="A1041" i="4" s="1"/>
  <c r="A1042" i="4" s="1"/>
  <c r="A1043" i="4" s="1"/>
  <c r="A1044" i="4" s="1"/>
  <c r="A1045" i="4" s="1"/>
  <c r="A1046" i="4" s="1"/>
  <c r="A1047" i="4" s="1"/>
  <c r="A1048" i="4" s="1"/>
  <c r="A1049" i="4" s="1"/>
  <c r="A1050" i="4" s="1"/>
  <c r="A1051" i="4" s="1"/>
  <c r="A1052" i="4" s="1"/>
  <c r="A1053" i="4" s="1"/>
  <c r="A1054" i="4" s="1"/>
  <c r="A1055" i="4" s="1"/>
  <c r="A1056" i="4" s="1"/>
  <c r="A1057" i="4" s="1"/>
  <c r="A1058" i="4" s="1"/>
  <c r="A1059" i="4" s="1"/>
  <c r="A1060" i="4" s="1"/>
  <c r="A1061" i="4" s="1"/>
  <c r="A1062" i="4" s="1"/>
  <c r="A1063" i="4" s="1"/>
  <c r="A1064" i="4" s="1"/>
  <c r="A1065" i="4" s="1"/>
  <c r="A1066" i="4" s="1"/>
  <c r="A1067" i="4" s="1"/>
  <c r="A1068" i="4" s="1"/>
  <c r="A1069" i="4" s="1"/>
  <c r="A1070" i="4" s="1"/>
  <c r="A1071" i="4" s="1"/>
  <c r="A1072" i="4" s="1"/>
  <c r="A1073" i="4" s="1"/>
  <c r="A1074" i="4" s="1"/>
  <c r="A1075" i="4" s="1"/>
  <c r="A1076" i="4" s="1"/>
  <c r="A1077" i="4" s="1"/>
  <c r="A1078" i="4" s="1"/>
  <c r="A1079" i="4" s="1"/>
  <c r="A1080" i="4" s="1"/>
  <c r="A1081" i="4" s="1"/>
  <c r="A1082" i="4" s="1"/>
  <c r="A1083" i="4" s="1"/>
  <c r="A1084" i="4" s="1"/>
  <c r="A1085" i="4" s="1"/>
  <c r="A1086" i="4" s="1"/>
  <c r="A1087" i="4" s="1"/>
  <c r="A1088" i="4" s="1"/>
  <c r="A1089" i="4" s="1"/>
  <c r="A1090" i="4" s="1"/>
  <c r="A1091" i="4" s="1"/>
  <c r="A1092" i="4" s="1"/>
  <c r="A1093" i="4" s="1"/>
  <c r="A1094" i="4" s="1"/>
  <c r="A1095" i="4" s="1"/>
  <c r="A1096" i="4" s="1"/>
  <c r="A1097" i="4" s="1"/>
  <c r="A1098" i="4" s="1"/>
  <c r="A1099" i="4" s="1"/>
  <c r="A1100" i="4" s="1"/>
  <c r="A1101" i="4" s="1"/>
  <c r="A1102" i="4" s="1"/>
  <c r="A1103" i="4" s="1"/>
  <c r="A1104" i="4" s="1"/>
  <c r="A1105" i="4" s="1"/>
  <c r="A1106" i="4" s="1"/>
  <c r="A1107" i="4" s="1"/>
  <c r="A1108" i="4" s="1"/>
  <c r="A1109" i="4" s="1"/>
  <c r="A1110" i="4" s="1"/>
  <c r="A1111" i="4" s="1"/>
  <c r="A1112" i="4" s="1"/>
  <c r="A1113" i="4" s="1"/>
  <c r="A1114" i="4" s="1"/>
  <c r="A1115" i="4" s="1"/>
  <c r="A1116" i="4" s="1"/>
  <c r="A1117" i="4" s="1"/>
  <c r="A1118" i="4" s="1"/>
  <c r="A1119" i="4" s="1"/>
  <c r="A1120" i="4" s="1"/>
  <c r="A1121" i="4" s="1"/>
  <c r="A1122" i="4" s="1"/>
  <c r="A1123" i="4" s="1"/>
  <c r="A1124" i="4" s="1"/>
  <c r="A1125" i="4" s="1"/>
  <c r="A1126" i="4" s="1"/>
  <c r="A1127" i="4" s="1"/>
  <c r="A1128" i="4" s="1"/>
  <c r="A1129" i="4" s="1"/>
  <c r="A1130" i="4" s="1"/>
  <c r="A1131" i="4" s="1"/>
  <c r="A1132" i="4" s="1"/>
  <c r="A1133" i="4" s="1"/>
  <c r="A1134" i="4" s="1"/>
  <c r="A1135" i="4" s="1"/>
  <c r="A1136" i="4" s="1"/>
  <c r="A1137" i="4" s="1"/>
  <c r="A1138" i="4" s="1"/>
  <c r="A1139" i="4" s="1"/>
  <c r="A1140" i="4" s="1"/>
  <c r="A1141" i="4" s="1"/>
  <c r="A1142" i="4" s="1"/>
  <c r="A1143" i="4" s="1"/>
  <c r="A1144" i="4" s="1"/>
  <c r="A1145" i="4" s="1"/>
  <c r="A1146" i="4" s="1"/>
  <c r="A1147" i="4" s="1"/>
  <c r="A1148" i="4" s="1"/>
  <c r="A1149" i="4" s="1"/>
  <c r="A1150" i="4" s="1"/>
  <c r="A1151" i="4" s="1"/>
  <c r="A1152" i="4" s="1"/>
  <c r="A1153" i="4" s="1"/>
  <c r="A1154" i="4" s="1"/>
  <c r="A1155" i="4" s="1"/>
  <c r="B19" i="6" l="1"/>
  <c r="B17" i="6"/>
  <c r="B20" i="6"/>
  <c r="B16" i="6"/>
</calcChain>
</file>

<file path=xl/sharedStrings.xml><?xml version="1.0" encoding="utf-8"?>
<sst xmlns="http://schemas.openxmlformats.org/spreadsheetml/2006/main" count="4302" uniqueCount="1716">
  <si>
    <t>OR</t>
  </si>
  <si>
    <t>FECHA</t>
  </si>
  <si>
    <t>Nº Socio</t>
  </si>
  <si>
    <t>NOMBRE</t>
  </si>
  <si>
    <t>COG.</t>
  </si>
  <si>
    <t>CONCEPTO</t>
  </si>
  <si>
    <t>Amplia concepto</t>
  </si>
  <si>
    <t>Importe</t>
  </si>
  <si>
    <t>Matri</t>
  </si>
  <si>
    <t>Transf.</t>
  </si>
  <si>
    <t>CARMEN SORIANO PARRA</t>
  </si>
  <si>
    <t>SI</t>
  </si>
  <si>
    <t>MANUEL CORRALES CARRETERO</t>
  </si>
  <si>
    <t>FRANCIS MANGAS MACIAS</t>
  </si>
  <si>
    <t>GRACIAS FIESTA MORILLA</t>
  </si>
  <si>
    <t>ANA SANCHEZ GONZALEZ</t>
  </si>
  <si>
    <t>JOSE ENRIQUE GARCIA FERNANDEZ</t>
  </si>
  <si>
    <t>ENCARNACION CHINCHILLA FERNANDEZ</t>
  </si>
  <si>
    <t>LOLI CONTRERAS GONZALEZ</t>
  </si>
  <si>
    <t>ISABEL NAVARRO DE OÑA</t>
  </si>
  <si>
    <t>NO</t>
  </si>
  <si>
    <t>TERESA BAUTISTA MENDEZ</t>
  </si>
  <si>
    <t>LUCIA LOPEZ BIEZMA</t>
  </si>
  <si>
    <t>A/410</t>
  </si>
  <si>
    <t>EMILIA HITA ROMERO</t>
  </si>
  <si>
    <t>ANTONIO LARA ARCOS</t>
  </si>
  <si>
    <t>Mª LUISA GARZON VALDEARENAS</t>
  </si>
  <si>
    <t>A/2555</t>
  </si>
  <si>
    <t>Mª AGEDA MARTIN RUEDA</t>
  </si>
  <si>
    <t>PILAR TORRES PEREA</t>
  </si>
  <si>
    <t>ANTONIO SANCHEZ GARCIA</t>
  </si>
  <si>
    <t>A/2131</t>
  </si>
  <si>
    <t>Mª ANGUSTIAS MOLINA QUESADA</t>
  </si>
  <si>
    <t>Mª JOSE DIAZ CARRILLO</t>
  </si>
  <si>
    <t>INMACULADA DIAZ FLORES</t>
  </si>
  <si>
    <t xml:space="preserve">Eloy de Haro Muñoz </t>
  </si>
  <si>
    <t>Mª Consolación Romero González</t>
  </si>
  <si>
    <t>Mª Jesús Sánchez Pérez</t>
  </si>
  <si>
    <t>INMACULADA CABALLERO BUENO</t>
  </si>
  <si>
    <t>FRANCISCA GARCIA GOMEZ</t>
  </si>
  <si>
    <t>SEBASTIAN TELLEZ SANCHEZ</t>
  </si>
  <si>
    <t>Mª JOSE HERNANDEZ CASADO</t>
  </si>
  <si>
    <t>ANTONIO CAMERO CIFUENTES</t>
  </si>
  <si>
    <t xml:space="preserve">INMA CAÑAVATE  </t>
  </si>
  <si>
    <t xml:space="preserve">JOSE RODRIGUEZ SANCHEZ </t>
  </si>
  <si>
    <t>ENCARNITA MORENO ZURITA</t>
  </si>
  <si>
    <t>A/1920</t>
  </si>
  <si>
    <t>Josefa Sancho Lledó</t>
  </si>
  <si>
    <t>PEPE HERAS</t>
  </si>
  <si>
    <t>VICTORIANO MARTIN</t>
  </si>
  <si>
    <t>PEPA SÁNCHO</t>
  </si>
  <si>
    <t>JUAN FRANCISCO ACEÑA CABALLERO</t>
  </si>
  <si>
    <t>A/269</t>
  </si>
  <si>
    <t>Mª ÁNGELES PALOMINO PALOMINO</t>
  </si>
  <si>
    <t>ANTONIO BAENA CORTÉS</t>
  </si>
  <si>
    <t>JOSÉ J. PÉREZ BLANCO</t>
  </si>
  <si>
    <t>JUAN ÁLVAREZ ARIAS</t>
  </si>
  <si>
    <t>MARGARITA BLASCO AZAUSTRE</t>
  </si>
  <si>
    <t>Mª LUZ BELTRAN CABRERA</t>
  </si>
  <si>
    <t>Mª ANGUSTIA MIRANDA LOPEZ</t>
  </si>
  <si>
    <t>JOSE ANT RAMIREZ GARCIA</t>
  </si>
  <si>
    <t>ANTONIO ISIDRO GALLEGO LORCA</t>
  </si>
  <si>
    <t>LOURDES ROZUA LARIOS</t>
  </si>
  <si>
    <t>Mª TERESA ROZUA LARIOS</t>
  </si>
  <si>
    <t>FRANCISCO MARTINEZ HIDALGO</t>
  </si>
  <si>
    <t>Mª ANGELES ILLESCA PEREZ</t>
  </si>
  <si>
    <t>RAFAEL RECHE SILVA</t>
  </si>
  <si>
    <t>MANUEL RODRIGUEZ ELVIRA</t>
  </si>
  <si>
    <t>LAURA HISPAN MOLINA</t>
  </si>
  <si>
    <t>LOLA CABELLO GONZALEZ</t>
  </si>
  <si>
    <t>MILAGRO ACEBAL MIÑANO</t>
  </si>
  <si>
    <t>Maria Rosario Martín Bueno</t>
  </si>
  <si>
    <t>Si</t>
  </si>
  <si>
    <t>A/2588</t>
  </si>
  <si>
    <t>JUAN MANUEL CARA GARCIA</t>
  </si>
  <si>
    <t>ANA FERNANDEZ BARAZA</t>
  </si>
  <si>
    <t>Mª ANGELES FERNANDEZ GARCIA</t>
  </si>
  <si>
    <t>RAFAEL BAENA CORTES</t>
  </si>
  <si>
    <t>ESPERANZA CARMONA CASAS</t>
  </si>
  <si>
    <t>ANA ROMERO FUNES</t>
  </si>
  <si>
    <t>FRANCISCO MALAGON VILLEN</t>
  </si>
  <si>
    <t>ANTONIO VIGIL LOPEZ</t>
  </si>
  <si>
    <t>A/2616</t>
  </si>
  <si>
    <t>Mª LUCIA ARIAS UCLES</t>
  </si>
  <si>
    <t>N0</t>
  </si>
  <si>
    <t>Mª ROSA LOPEZ NAVARRETE</t>
  </si>
  <si>
    <t>A/2667</t>
  </si>
  <si>
    <t>FRANCISCA RUIZ ORTEGA</t>
  </si>
  <si>
    <t>CASILDA FERNANDEZ SALIDO</t>
  </si>
  <si>
    <t>ANTONIO CARRILLO SANCHEZ</t>
  </si>
  <si>
    <t>JUAN JESUS TOMAS SALAZAR</t>
  </si>
  <si>
    <t>A/2416</t>
  </si>
  <si>
    <t>ANA ROJAS FERNANDEZ</t>
  </si>
  <si>
    <t>JUAN VALVERDE GARCIA</t>
  </si>
  <si>
    <t>MARIA ANGUSTIAS SPINOLA GOMEZ</t>
  </si>
  <si>
    <t>NANI MORENO ZURITA</t>
  </si>
  <si>
    <t>CARMEN RUZ GUZMAN</t>
  </si>
  <si>
    <t>JENARO MUÑOZ ROPERO</t>
  </si>
  <si>
    <t>SAGRARIO LUNA POLO</t>
  </si>
  <si>
    <t>mº ANGELES GARCIA FERNANDEZ</t>
  </si>
  <si>
    <t>ENCARNA CHINCHILLA FERNANDEZ</t>
  </si>
  <si>
    <t>ANT ISIDRO GALLEGO LORCA</t>
  </si>
  <si>
    <t>GRACIAS FERNANDEZ MORILLA</t>
  </si>
  <si>
    <t>Mª JESUS SANCHEZ PEREZ</t>
  </si>
  <si>
    <t>Mª CARMEM CASTAÑO CASTAÑO</t>
  </si>
  <si>
    <t>FRANCISCA ACEBES ORIHUELA</t>
  </si>
  <si>
    <t>Mª ANGUSTIAS CALVO LOPEZ</t>
  </si>
  <si>
    <t>A/2303</t>
  </si>
  <si>
    <t>A/1397</t>
  </si>
  <si>
    <t>MARIBEL ALBARADO GALLEGO</t>
  </si>
  <si>
    <t>Mª ELENA ESPINAR GONZALEZ</t>
  </si>
  <si>
    <t>ANA RODRIGUEZ AZNARTE</t>
  </si>
  <si>
    <t>TRINI ENDRINA FERNANDEZ</t>
  </si>
  <si>
    <t>INMA CAÑAVATE FERNANDEZ</t>
  </si>
  <si>
    <t>José María García Puga</t>
  </si>
  <si>
    <t>si</t>
  </si>
  <si>
    <t>Concepción Valdivia Álvarez</t>
  </si>
  <si>
    <t>Mari Ágeles Guerrero Santos</t>
  </si>
  <si>
    <t>Laura Hispan Molina</t>
  </si>
  <si>
    <t>MARÍA LUISA SERRANO GARCÍA</t>
  </si>
  <si>
    <t>ELOY DE HARO MUÑOZ</t>
  </si>
  <si>
    <t>CONSUELO ROMERO GONZALEZ</t>
  </si>
  <si>
    <t>MARIAN SPINOLA GOMEZ</t>
  </si>
  <si>
    <t>ESPERANZA CARMONA CASA</t>
  </si>
  <si>
    <t>ANTOJNIO BAENA CORTRES</t>
  </si>
  <si>
    <t>CARMEN ZAFRA ALVAREZ</t>
  </si>
  <si>
    <t>IBAÑEZ AMATE Mª CARMEN</t>
  </si>
  <si>
    <t>A/2406</t>
  </si>
  <si>
    <t>MARTIN DIAZ SANTIAGO</t>
  </si>
  <si>
    <t>GRANDA MARTIN SALUD</t>
  </si>
  <si>
    <t>LEONOR ALGAR REYES</t>
  </si>
  <si>
    <t>JOSE PEREZ PEREZ</t>
  </si>
  <si>
    <t>A/2548</t>
  </si>
  <si>
    <t>Mª CARMEN ROMERO MCACERES</t>
  </si>
  <si>
    <t>CANDIDO SEGURA CAMACHO</t>
  </si>
  <si>
    <t>MARIA OLIVARES RUIZ</t>
  </si>
  <si>
    <t>Mª DEL CARMEN ESTEVEZ MARQUES</t>
  </si>
  <si>
    <t>FCO JAVIER GARRIDO MONTORO</t>
  </si>
  <si>
    <t>MARCELA VIVES MONTERO</t>
  </si>
  <si>
    <t>Mª LUISA RINCON GARMENDIA</t>
  </si>
  <si>
    <t>RAFAEL LUQUE DIEZ</t>
  </si>
  <si>
    <t>MERCEDES ROJA ONTIVEROS</t>
  </si>
  <si>
    <t>JIMÉNEZ ALCAIDE MARGARITA</t>
  </si>
  <si>
    <t>GARCÍA GÓMEZ, FRANCISCA</t>
  </si>
  <si>
    <t>MANGAS MACÍAS, FRANCIS</t>
  </si>
  <si>
    <t>SORIANO PARRA, CARMEN</t>
  </si>
  <si>
    <t>ISABEL GUZMAN DELGADO</t>
  </si>
  <si>
    <t>MARIA ISABEL MESA MARTIN</t>
  </si>
  <si>
    <t>DIAZ CARRILLO Mª JOSE</t>
  </si>
  <si>
    <t>S</t>
  </si>
  <si>
    <t>A/2497</t>
  </si>
  <si>
    <t>JOSE SANCHEZ</t>
  </si>
  <si>
    <t>N</t>
  </si>
  <si>
    <t>CONCHI SANCHEZ MORALES</t>
  </si>
  <si>
    <t>JOSE PEREZ BLANCO</t>
  </si>
  <si>
    <t>A/2684</t>
  </si>
  <si>
    <t>PRUDENCIA ROJAS</t>
  </si>
  <si>
    <t>A/2577</t>
  </si>
  <si>
    <t>FRANCISCO TRILLO LEYVA</t>
  </si>
  <si>
    <t>ISABEL MOLINA MARTIN</t>
  </si>
  <si>
    <t>LUIS MIGUEL MOLINA CASTRO</t>
  </si>
  <si>
    <t>A/1944</t>
  </si>
  <si>
    <t>TRINIDAD FERNANDEZ MOLINA</t>
  </si>
  <si>
    <t>A/2556</t>
  </si>
  <si>
    <t>DOLORES CARRILLO SANCHEZ</t>
  </si>
  <si>
    <t>LUCIA BOLIVAR PEREZ</t>
  </si>
  <si>
    <t>CARMEN VEGA RAMIREZ</t>
  </si>
  <si>
    <t>MONSERRAT BARRERA PERTIÑEZ</t>
  </si>
  <si>
    <t>ANGELA SOBRINO DIAZ</t>
  </si>
  <si>
    <t>ROSA GARCIA HERNANDEZ</t>
  </si>
  <si>
    <t>Mª ISABEL MESA MARTÍN</t>
  </si>
  <si>
    <t>INÉS FRÍAS RUIZ</t>
  </si>
  <si>
    <t>Mª TERESA HERNÁNDEZ VALLECILLO</t>
  </si>
  <si>
    <t>JUANA GÓMEZ PILARES</t>
  </si>
  <si>
    <t>INMACULADA VIVES MONTERO</t>
  </si>
  <si>
    <t>A/2615</t>
  </si>
  <si>
    <t>CARMEN VIVES MONTERO</t>
  </si>
  <si>
    <t>PASCUAL SANCHEZ GOMEZ</t>
  </si>
  <si>
    <t>A/2498</t>
  </si>
  <si>
    <t xml:space="preserve">MARIA DEL MAR ABAD ORTEGA </t>
  </si>
  <si>
    <t>JOSE MANUEL EGEA MARTINEZ</t>
  </si>
  <si>
    <t xml:space="preserve">MARIA CONCEPCION GARCIA ORTEGA </t>
  </si>
  <si>
    <t>PEPI SANCHEZ LLEDÓ</t>
  </si>
  <si>
    <t>ROSA ELIO GRAU</t>
  </si>
  <si>
    <t>MARIA ELENA ESPINAR GONZALEZ</t>
  </si>
  <si>
    <t>ANA GARCIA PUERTAS</t>
  </si>
  <si>
    <t>FRANCISCA DE LA TORRE PRIETO</t>
  </si>
  <si>
    <t>Mª CLARA RICO HENARES</t>
  </si>
  <si>
    <t>MªMAR ABAD ORTEGA</t>
  </si>
  <si>
    <t>PAQUI GARCIA GOMEZ</t>
  </si>
  <si>
    <t>ENCARNA CHINCHILLA HERNANDEZ</t>
  </si>
  <si>
    <t>GRACIA FIESTAS MORILLAS</t>
  </si>
  <si>
    <t>ANTONIO BAENA CORTES</t>
  </si>
  <si>
    <t>PILAR ESTRELLA MANCILLA GUARDIA</t>
  </si>
  <si>
    <t>TERESA ACEBES ORUHUELA</t>
  </si>
  <si>
    <t>Mª ANFUSTIAS CALVO LOPEZ</t>
  </si>
  <si>
    <t>CARMEN BETETA ANGUITA</t>
  </si>
  <si>
    <t>Mª CARMEN ROMERO CALLE</t>
  </si>
  <si>
    <t>M ANTONIA JIMENEZ LOPEZ</t>
  </si>
  <si>
    <t>JOSE ANTONIO RAMIREZ GARCIA</t>
  </si>
  <si>
    <t>Mª CONSOLACION ROMERO GONZALEZ</t>
  </si>
  <si>
    <t>JOSE JOAQUIN PEREZ BLANCO</t>
  </si>
  <si>
    <t>ROSA MARIA MAÑAS VILCHEZ</t>
  </si>
  <si>
    <t>MARIBEL ALVARADO</t>
  </si>
  <si>
    <t>JOSE FRANCISCO HERAS JIMENEZ</t>
  </si>
  <si>
    <t>a/1920</t>
  </si>
  <si>
    <t>PEPI SANCHO LLEDÓ</t>
  </si>
  <si>
    <t>Luis M. Molina Castro</t>
  </si>
  <si>
    <t>Mª Trinidad Fernández</t>
  </si>
  <si>
    <t>Encarnita Domingo Jaramillo</t>
  </si>
  <si>
    <t>Amalia González Martínez</t>
  </si>
  <si>
    <t>Eloisa Castro Gómez</t>
  </si>
  <si>
    <t>Mª Isabel Puertas Cruz</t>
  </si>
  <si>
    <t>Isabel Molina Martínez</t>
  </si>
  <si>
    <t>Emilia García Polaino</t>
  </si>
  <si>
    <t>Ana Cervantes Baraza</t>
  </si>
  <si>
    <t>ESPINAR GONZALEZ M ELENA</t>
  </si>
  <si>
    <t>MARTINEZ JEREZ LORETO</t>
  </si>
  <si>
    <t>MANSILLA GUARDIA ESTRELLA</t>
  </si>
  <si>
    <t>FERNANDEZ SALIDO CASILDA</t>
  </si>
  <si>
    <t>OLIVARES RUIZ MARIA</t>
  </si>
  <si>
    <t>SEGURA CAMACHO CANDIDO</t>
  </si>
  <si>
    <t>LOPEZ GARCIA ENCARNA</t>
  </si>
  <si>
    <t>CERVANTES BARAZA ANA</t>
  </si>
  <si>
    <t xml:space="preserve">OSUNA ORTEGA CARMEN </t>
  </si>
  <si>
    <t>OSUNA ORTEGAENCARNACION</t>
  </si>
  <si>
    <t>BETETA ANGUITA CARMEN</t>
  </si>
  <si>
    <t>ROMERO CALLE M CARMEN</t>
  </si>
  <si>
    <t>ARJONA BERRAL M CARMEN</t>
  </si>
  <si>
    <t>RAYA PUGA M CARMEN</t>
  </si>
  <si>
    <t>CASTAÑO CASTAÑO M CARMEN</t>
  </si>
  <si>
    <t>DE LA TORRE PRIETO FRANCISCA</t>
  </si>
  <si>
    <t>EGEA JOSE MANUEL</t>
  </si>
  <si>
    <t>JIMENEZ LOPEZ M ANTONIA</t>
  </si>
  <si>
    <t>RAMIREZ GARCIA ANTONIO</t>
  </si>
  <si>
    <t>ROMERO FUNES ANA</t>
  </si>
  <si>
    <t>MALAGON VILLEN FRANCISCO</t>
  </si>
  <si>
    <t>RICO HENARES CLARA</t>
  </si>
  <si>
    <t>Encarna Chinchilla Hernández</t>
  </si>
  <si>
    <t>X</t>
  </si>
  <si>
    <t>Encarnación Moreno Zurita</t>
  </si>
  <si>
    <t>Victoriano Martín Peña</t>
  </si>
  <si>
    <t>x</t>
  </si>
  <si>
    <t>TORRES PEREA PILAR</t>
  </si>
  <si>
    <t>ZAFRA ALVAREZ CARMEN</t>
  </si>
  <si>
    <t>ROZUA LARIOS TERESA</t>
  </si>
  <si>
    <t>ROZUA LARIOS LOURDES</t>
  </si>
  <si>
    <t>GARCIA FERNANDEZ M ANGELES</t>
  </si>
  <si>
    <t>FIESTAS MORILLAS GRACIA</t>
  </si>
  <si>
    <t>A/2324</t>
  </si>
  <si>
    <t>CASTRO SANCHEZ M ENCARNA</t>
  </si>
  <si>
    <t>SANCHEZ GONZALEZ ANA</t>
  </si>
  <si>
    <t>TERCERO PADIAL RAFAEL</t>
  </si>
  <si>
    <t>DELGADO LOPEZ JOSE LUIS</t>
  </si>
  <si>
    <t>GARCIA GOMEZ FRANCISCA</t>
  </si>
  <si>
    <t>TELLEZ SANCHEZ SEBASTIAN</t>
  </si>
  <si>
    <t>MERCEDES ROJAS ONTIVEROS</t>
  </si>
  <si>
    <t>PRUDEN ROJAS ONTIVEROS</t>
  </si>
  <si>
    <t>DE HARO MUÑOZ, ELOY</t>
  </si>
  <si>
    <t>ROMERO GONZALEZ, CONSOLACIÓN</t>
  </si>
  <si>
    <t>HERVIA GARRIDO, REME</t>
  </si>
  <si>
    <t>Nº 1</t>
  </si>
  <si>
    <t>Mercedes Mateos Delgado</t>
  </si>
  <si>
    <t>Antonio Torices Vílchez</t>
  </si>
  <si>
    <t>ISABEL MESA MARTIN</t>
  </si>
  <si>
    <t>PAQUI GARCIA GÓMEZ</t>
  </si>
  <si>
    <t>JIMENEZ ANA</t>
  </si>
  <si>
    <t>MORALES GONZALEZ VALERIANO</t>
  </si>
  <si>
    <t>SANCHEZ AVILA M ANTONIA</t>
  </si>
  <si>
    <t>SANCHEZ GARCIA ANTONIO</t>
  </si>
  <si>
    <t>MOLINA QUESADA M ANGUSTIAS</t>
  </si>
  <si>
    <t>A/2689</t>
  </si>
  <si>
    <t>GARRIDO FRIAS FCO JAVIER</t>
  </si>
  <si>
    <t>ALVARADO MARIBEL</t>
  </si>
  <si>
    <t>A/2654</t>
  </si>
  <si>
    <t>RAYA PUGA ANGELA M</t>
  </si>
  <si>
    <t>CASTILLO JIMENEZ ELOISA</t>
  </si>
  <si>
    <t>CABALLERO BUENO INMACULADA</t>
  </si>
  <si>
    <t>RODRIGUEZ ORTIZ IRENE</t>
  </si>
  <si>
    <t>Rafael Tercero Padial</t>
  </si>
  <si>
    <t>A/2000</t>
  </si>
  <si>
    <t>Piedad Soriano Bastidas</t>
  </si>
  <si>
    <t>No</t>
  </si>
  <si>
    <t>Dolores Mesa González</t>
  </si>
  <si>
    <t>Esteban Pérez Maldonado</t>
  </si>
  <si>
    <t>Josefa Campos Rodríguez</t>
  </si>
  <si>
    <t>María Roldán León</t>
  </si>
  <si>
    <t>Mercedes Rios Collantes</t>
  </si>
  <si>
    <t>Cari López Peregrín</t>
  </si>
  <si>
    <t>Isabel Santiago López</t>
  </si>
  <si>
    <t>Ana C. Zurita Chacón</t>
  </si>
  <si>
    <t>Carmen Marmol Cámara</t>
  </si>
  <si>
    <t>Miguel Nievas Aguilar</t>
  </si>
  <si>
    <t>ENCARNACIÓN DOMINGO JARAMILLO</t>
  </si>
  <si>
    <t>MARIA OLVARES RUIZ</t>
  </si>
  <si>
    <t>MERCEDES IZQUIERDO OCAÑA</t>
  </si>
  <si>
    <t>JULIO MOYANO REDONDO</t>
  </si>
  <si>
    <t>PEPA SANCHO LLEDO</t>
  </si>
  <si>
    <t>Mª DEL PILAR SÁNCHEZ PERALTA</t>
  </si>
  <si>
    <t>LOURDES ROZUA Mª TERESA</t>
  </si>
  <si>
    <t>JOSE MARTINEZ SALMERON</t>
  </si>
  <si>
    <t>A/2470</t>
  </si>
  <si>
    <t>ANTONIA LOPEZ SENISE</t>
  </si>
  <si>
    <t>MANOLO ALCALA VILCHEZ</t>
  </si>
  <si>
    <t>JESÚS NAVAS PÉREZ</t>
  </si>
  <si>
    <t>ROSARIO RUANO CABRERA</t>
  </si>
  <si>
    <t>JUAN F. ACEÑA CABALLERO</t>
  </si>
  <si>
    <t xml:space="preserve">CARLOS IZQUIERDO RIVAS </t>
  </si>
  <si>
    <t>A/2048</t>
  </si>
  <si>
    <t>PILAR BARRUETABEÑA ALONSO</t>
  </si>
  <si>
    <t>JOSE ANTONIO POYATOS SANCHEZ</t>
  </si>
  <si>
    <t>A/1971</t>
  </si>
  <si>
    <t>ENCARNI ROBLES RODRIGUEZ</t>
  </si>
  <si>
    <t>JOSÉ LIÑA´N MEDINA</t>
  </si>
  <si>
    <t>Mª ANGUSTIAS MIRANDA LÓPEZ</t>
  </si>
  <si>
    <t>ROBERTO GIL MUÑOZ</t>
  </si>
  <si>
    <t>FRANCISCA GARCÍA FERNÁNDEZ</t>
  </si>
  <si>
    <t>ÁNGELES GARCÍA FERNÁNDEZ</t>
  </si>
  <si>
    <t>ISABEL MESA MARTÍN</t>
  </si>
  <si>
    <t>A/1433</t>
  </si>
  <si>
    <t>DOMINGUEZ MONTORO ANA</t>
  </si>
  <si>
    <t>MARGARITA BOLIVAR PEREZ</t>
  </si>
  <si>
    <t>OSE JOAQUIN PEREZ LOPEZ</t>
  </si>
  <si>
    <t>CONCHIGARCIA ORTEGA</t>
  </si>
  <si>
    <t>A/2730</t>
  </si>
  <si>
    <t>JOSE MOYA GARCIA</t>
  </si>
  <si>
    <t>AMALIA MONTIJANO RODRIGUEZ</t>
  </si>
  <si>
    <t>VISITACION JIMENEZ TROYA</t>
  </si>
  <si>
    <t>A/1967</t>
  </si>
  <si>
    <t>CARLOS PICHEL VALDIVIA</t>
  </si>
  <si>
    <t>A/2270</t>
  </si>
  <si>
    <t>RAFAEL ABELENDA</t>
  </si>
  <si>
    <t>JULIA CERVILLA</t>
  </si>
  <si>
    <t>A/2712</t>
  </si>
  <si>
    <t>BENJAMIN PECO</t>
  </si>
  <si>
    <t>MARILUZ SALVADOR FERRON</t>
  </si>
  <si>
    <t>NATIVIDAD MARQUEZ IAÑEZ</t>
  </si>
  <si>
    <t>INMACULADA VIVES</t>
  </si>
  <si>
    <t>ISABEL GUZMAN</t>
  </si>
  <si>
    <t>M.LUISA GARZON</t>
  </si>
  <si>
    <t>INMA SERRANO</t>
  </si>
  <si>
    <t>FRANCISCO VALIENTE</t>
  </si>
  <si>
    <t>ANTONIO CARRILLO SÁNCHEZ</t>
  </si>
  <si>
    <t>LUCÍA BOLÍVAR PÉREZ</t>
  </si>
  <si>
    <t>MERCEDES OLIVER BARRIONUEVO</t>
  </si>
  <si>
    <t>ANTONIO AZNAR LARA</t>
  </si>
  <si>
    <t>BEATRIZ BALLESTA MARTÍNEZ</t>
  </si>
  <si>
    <t>JOSE CONSUEGRA NAVARRO</t>
  </si>
  <si>
    <t>CARMINA CAÑAVATE FERNANDEZ</t>
  </si>
  <si>
    <t>INMA CAÑAVATE FERNADEZ</t>
  </si>
  <si>
    <t>MANUEL VELA DE LA TORRE</t>
  </si>
  <si>
    <t>Mª TETRESA PEDRAZA MURIEL</t>
  </si>
  <si>
    <t>GRACIAS FIESTAS MORILLA</t>
  </si>
  <si>
    <t>FRANCISCA GONZALEZ BELTRAN</t>
  </si>
  <si>
    <t>ANA Mª SANCHEZ GONZALEZ</t>
  </si>
  <si>
    <t>MARI CARMEN JIMENEZ BARRIONUEVO</t>
  </si>
  <si>
    <t>CARMEN RODRIGUEZ GALAN</t>
  </si>
  <si>
    <t>Mª DOLORES VILLAR ROMERO</t>
  </si>
  <si>
    <t>EPERANZA VILLAR ROMERO</t>
  </si>
  <si>
    <t>Mª TERESA JIMENEZ FERNANDEZ</t>
  </si>
  <si>
    <t>FRANCISCA BLANCO MARTIN</t>
  </si>
  <si>
    <t>Mª DE LA LUZ BELTRAN CABRERA</t>
  </si>
  <si>
    <t>CONCEPCION UREÑA GEA</t>
  </si>
  <si>
    <t>PEDRO REYES SUAREZ</t>
  </si>
  <si>
    <t>MATILDE ENRIQUEZ GAMEZ</t>
  </si>
  <si>
    <t>JUAN MORENO SANCHEZ</t>
  </si>
  <si>
    <t>Mº CARMEN VELAZQUE ROPERO</t>
  </si>
  <si>
    <t>Jose Antonio Ramirez Garcia</t>
  </si>
  <si>
    <t>Encarnacion Dominguez Jaramilla</t>
  </si>
  <si>
    <t>Rosario Samos Gamo</t>
  </si>
  <si>
    <t xml:space="preserve"> Vargas Rodriguez Mº Victoria</t>
  </si>
  <si>
    <t>?</t>
  </si>
  <si>
    <t>Ana Maria Romero Funes</t>
  </si>
  <si>
    <t>Francisco Malagon Villen</t>
  </si>
  <si>
    <t>Fortis Sanchez Ana</t>
  </si>
  <si>
    <t>Sanchez Morales Mª Concepcion</t>
  </si>
  <si>
    <t>Torres Perea Pilar</t>
  </si>
  <si>
    <t>Mº Concepcion Fdez Montoya</t>
  </si>
  <si>
    <t>Rosa Maria Gacia Lazaro</t>
  </si>
  <si>
    <t>Mª Dolores Mesa Gonzalez</t>
  </si>
  <si>
    <t xml:space="preserve">Manuel Moya Ayan </t>
  </si>
  <si>
    <t>M Consolacion Romero Gonzalez</t>
  </si>
  <si>
    <t>Eloy de Haro Muñoz</t>
  </si>
  <si>
    <t>Mº Carmen Parejo Muñoz</t>
  </si>
  <si>
    <t>Mª Sol Castro Herrero</t>
  </si>
  <si>
    <t>no</t>
  </si>
  <si>
    <t>Jose Perez Blanco</t>
  </si>
  <si>
    <t>Mª Jose Diaz Carrillo</t>
  </si>
  <si>
    <t>Mº Luis Garzon Vladearenas</t>
  </si>
  <si>
    <t>Maria Arellano Diaz</t>
  </si>
  <si>
    <t>MARIA TRINIDAD ROLDAN LEON</t>
  </si>
  <si>
    <t>INMACULADA ALONSO SAEZ</t>
  </si>
  <si>
    <t>MARIA PILAR CONCHA LOPEZ</t>
  </si>
  <si>
    <t>JUAN LUIS SAEZ CAMACHO</t>
  </si>
  <si>
    <t>ANA MIGUEL MORALES</t>
  </si>
  <si>
    <t>DULCE MARIA PLASENCIA FLORES</t>
  </si>
  <si>
    <t>IRENE RODRIGUEZORTIZ</t>
  </si>
  <si>
    <t>ELIZABET DE BOSCH BRODELER</t>
  </si>
  <si>
    <t>MARIA ELISA PEREZ HITOS</t>
  </si>
  <si>
    <t>Mª Lourdes Muñoz Jofre</t>
  </si>
  <si>
    <t>Mª Teresa Morillas Uréndez</t>
  </si>
  <si>
    <t>Mª Carmen García Jiménez</t>
  </si>
  <si>
    <t>Herminia Fornieles Pérez</t>
  </si>
  <si>
    <t>Concepción Hurtado Eusebio</t>
  </si>
  <si>
    <t>Antonio Reina Toral</t>
  </si>
  <si>
    <t>Carmen Beteta Anguita</t>
  </si>
  <si>
    <t>Encarnación Osuna Ortega</t>
  </si>
  <si>
    <t>Mª Francisca del Castillo Martín</t>
  </si>
  <si>
    <t>Antonio J. Rubiño Ruiz</t>
  </si>
  <si>
    <t>José Félix González Rodríguez</t>
  </si>
  <si>
    <t>Carmen Ruz Guzmán</t>
  </si>
  <si>
    <t>Antonia Delgado Jiménez</t>
  </si>
  <si>
    <t>Martirio Espinosa Moreno</t>
  </si>
  <si>
    <t>Mª Teresa Martín Sánchez</t>
  </si>
  <si>
    <t>Mª Milagros Gómez Lucena</t>
  </si>
  <si>
    <t>Elvira Cuesta Ortiz</t>
  </si>
  <si>
    <t>Juan francisco Aceña Caballero</t>
  </si>
  <si>
    <t>Mª Olivares Ruiz</t>
  </si>
  <si>
    <t>Candido Isidro Segura Camacho</t>
  </si>
  <si>
    <t>Valeriano Morales González</t>
  </si>
  <si>
    <t>Marcedes Izquierdo Ocaña</t>
  </si>
  <si>
    <t>Mª DEL PILAR DE MAQUA MONTEYS</t>
  </si>
  <si>
    <t>LOLA CANTARERO CABALLERO</t>
  </si>
  <si>
    <t>ROSA Mª RODRIGUEZ MARTINEZ</t>
  </si>
  <si>
    <t>JOSE VIVES MONTERO</t>
  </si>
  <si>
    <t>LOLA SOTO BARRAGAN</t>
  </si>
  <si>
    <t>REMEDIOS HERVIAS GARRIDO</t>
  </si>
  <si>
    <t>JOSE FCO MARTINEZ SALMERON</t>
  </si>
  <si>
    <t>RAFAEL TERCERO PADIAL</t>
  </si>
  <si>
    <t>LORENZO PEREZ CASENAVE</t>
  </si>
  <si>
    <t>M CHISTINE CASSINS</t>
  </si>
  <si>
    <t>OLGA ESCOBAR GARZON</t>
  </si>
  <si>
    <t>Mª CARMEN RAYA PUGA</t>
  </si>
  <si>
    <t>ANA Mª LOPEZ ROSA</t>
  </si>
  <si>
    <t>Mª AMALIA ROJAS MARIN</t>
  </si>
  <si>
    <t>VICTOR RAMOS RIVAS</t>
  </si>
  <si>
    <t>JOSE RODRIGUEZ SANCHEZ</t>
  </si>
  <si>
    <t>CARMEN GOMEZ BERMUDE</t>
  </si>
  <si>
    <t>JOSE MARIA SANTIAGO ALVAREZ</t>
  </si>
  <si>
    <t>ANTONIA FERNANDEZ ROMERO</t>
  </si>
  <si>
    <t>INMACULADA DELGADO SALAZAR</t>
  </si>
  <si>
    <t>ENRIQUE ARBOL JIMENEZ</t>
  </si>
  <si>
    <t>JOSE RAMON VENTURA</t>
  </si>
  <si>
    <t>MARIA DOLORES SALGUERO GARCIA</t>
  </si>
  <si>
    <t>ROSA GARRIDO SERRANO</t>
  </si>
  <si>
    <t xml:space="preserve">Angel Calderon Ramirez </t>
  </si>
  <si>
    <t>Antonia Valero Morales</t>
  </si>
  <si>
    <t>jose maria Blanchar Garcia</t>
  </si>
  <si>
    <t xml:space="preserve">Ana Valenzuela Valenzuela </t>
  </si>
  <si>
    <t>M angeles Morente Martin</t>
  </si>
  <si>
    <t>RuthWaldherr</t>
  </si>
  <si>
    <t>Fco. Lopez Corpas</t>
  </si>
  <si>
    <t>Isabel Morales Gonzalez</t>
  </si>
  <si>
    <t>Antonio Jimenez Aguilar</t>
  </si>
  <si>
    <t>Mº ISABEL DOMINGUEZ VILLANUEVA</t>
  </si>
  <si>
    <t>Mª MERCEDES GARCIA MARTINEZ</t>
  </si>
  <si>
    <t>JUAN MARIN JIMENEZ</t>
  </si>
  <si>
    <t>CARMEN COMINO GONZALEZ</t>
  </si>
  <si>
    <t>Rufo del Castillo Gordo</t>
  </si>
  <si>
    <t>Sebastian Tellez Sánchez</t>
  </si>
  <si>
    <t>Fca. Garcia Gomez</t>
  </si>
  <si>
    <t>Rafael Reche Silva</t>
  </si>
  <si>
    <t>Sebastian Soria Lerma</t>
  </si>
  <si>
    <t>Encarnación Calvo Perez</t>
  </si>
  <si>
    <t>Mª Carmen Castaño Castaño</t>
  </si>
  <si>
    <t>Maria Isabel Martin Aguilar</t>
  </si>
  <si>
    <t>Maria Navarro de la Casa</t>
  </si>
  <si>
    <t>Fernanda Zarco Ruiz</t>
  </si>
  <si>
    <t>Isabel Zarco Ruiz</t>
  </si>
  <si>
    <t>CARMEN ALVAREZ DE CIENFUEGOSLOPEZ</t>
  </si>
  <si>
    <t>MANUELA TORRES JIMENEZ</t>
  </si>
  <si>
    <t>ANTONIO LOPEZ GARCIA</t>
  </si>
  <si>
    <t xml:space="preserve"> MARI CARMEN LOPEZ ARBOLEDAS</t>
  </si>
  <si>
    <t>MARI CARMEN ESTEVEZ MARQUEZ</t>
  </si>
  <si>
    <t>ANTONIO ALCALDE CASTILLA</t>
  </si>
  <si>
    <t>LEONARDO SEGURA HERRERA</t>
  </si>
  <si>
    <t>MARIA PILAR SORIA ESPEJO</t>
  </si>
  <si>
    <t>ISABEL MOLINERA GALLEGO</t>
  </si>
  <si>
    <t>ANTONIO FERNANDEZ FERNANDEZ</t>
  </si>
  <si>
    <t>FRANCISCA VICO VILCHEZ</t>
  </si>
  <si>
    <t>DOLORES ROMAN ENRIQUEZ</t>
  </si>
  <si>
    <t>MARIA ISABEL ALCONCHEZ NAVARRO</t>
  </si>
  <si>
    <t>GLORIA PUYOL TOLEDO</t>
  </si>
  <si>
    <t xml:space="preserve"> TERESA GARCIA LLAMAS</t>
  </si>
  <si>
    <t>ENRIQUE BACHS RIVERO</t>
  </si>
  <si>
    <t>JOSE GINES HERNANDEZ</t>
  </si>
  <si>
    <t xml:space="preserve"> SI</t>
  </si>
  <si>
    <t>José Mª Contreras González</t>
  </si>
  <si>
    <t>Ángel Ruiz Moles</t>
  </si>
  <si>
    <t>Jesús Díaz Flores</t>
  </si>
  <si>
    <t>Mª Leonor Morón Alcalde</t>
  </si>
  <si>
    <t>Purificación Páez Dueñas</t>
  </si>
  <si>
    <t>Prudencia Díaz Mota</t>
  </si>
  <si>
    <t>Magdalena Martín Entrena</t>
  </si>
  <si>
    <t>Mª José León Cruz</t>
  </si>
  <si>
    <t>Juan Ramón Jiménez Ramos</t>
  </si>
  <si>
    <t>Juan Valverde García</t>
  </si>
  <si>
    <t>José Mª Peris García</t>
  </si>
  <si>
    <t>Baldomero Gutiérrez Ríos</t>
  </si>
  <si>
    <t>Antonio Fernández Cabello</t>
  </si>
  <si>
    <t>Catalina Perales Rentero</t>
  </si>
  <si>
    <t>Mª Isabel Molina Martínez</t>
  </si>
  <si>
    <t>Rosa Mª Mañas Vílchez</t>
  </si>
  <si>
    <t>Purificación Rodríguez Franco</t>
  </si>
  <si>
    <t>Mª ANGUSTIAS SPINOLA GOMEZ</t>
  </si>
  <si>
    <t>Mª ANGUSTIAS MARTINEZ TORRES</t>
  </si>
  <si>
    <t>Mª VICTORIA MANSILLA FLORES</t>
  </si>
  <si>
    <t>MANUEL FRUTOS CHECA</t>
  </si>
  <si>
    <t>MIGUEL ANGEL CARMONA CARRIQUE</t>
  </si>
  <si>
    <t>JOSE MIGUEL ARENAS GUERRERO</t>
  </si>
  <si>
    <t>FCO. JAVIER GARRIDO MONTORO</t>
  </si>
  <si>
    <t>FABIOLA VILCHEZ GALLARDO</t>
  </si>
  <si>
    <t>Mª JESUS SANCHEZ PÉREZ</t>
  </si>
  <si>
    <t>CARMEN PADILLA GARZON</t>
  </si>
  <si>
    <t>CARMEN OSUNA ORTEGA</t>
  </si>
  <si>
    <t>ENCARNA CARMONA CASAS</t>
  </si>
  <si>
    <t>Mª PILAR PUERTAS CONTRERAS</t>
  </si>
  <si>
    <t>Mª ANGUSTIAS AVILA MONTERO</t>
  </si>
  <si>
    <t>Mª ISABEL PUERTAS CRUZ</t>
  </si>
  <si>
    <t>FRANCISCO VALIENTE HERVAS</t>
  </si>
  <si>
    <t>CONCHI ROCA LEZAMA</t>
  </si>
  <si>
    <t>ANA BRIGIDA SANCHEZ RODRIGUEZ</t>
  </si>
  <si>
    <t>Dionisio Gonzalez Gonzalez</t>
  </si>
  <si>
    <t>Maria Hortencia Martinez Raya</t>
  </si>
  <si>
    <t xml:space="preserve">Carmen Margarita de la Puente Perez </t>
  </si>
  <si>
    <t>Jose Garcia Rodriguez</t>
  </si>
  <si>
    <t>Burgos Lopez Ana</t>
  </si>
  <si>
    <t>Eloisa Cervilla Sanchez</t>
  </si>
  <si>
    <t>Juan Gonzalez Pajares</t>
  </si>
  <si>
    <t>Moreno Filguera CoNCEPCION</t>
  </si>
  <si>
    <t>Martinez Martinez Juan</t>
  </si>
  <si>
    <t>Ana Isabel Gutierrez Coluga</t>
  </si>
  <si>
    <t>Carlos Moreno Castilla</t>
  </si>
  <si>
    <t>A/2657</t>
  </si>
  <si>
    <t>Elena Agualcil Garrido</t>
  </si>
  <si>
    <t>FRANCISCO VICIANA GAVILAN</t>
  </si>
  <si>
    <t>MARI CARMEN MONTERO LOPEZ</t>
  </si>
  <si>
    <t>MARIA CONCEPCION GARCIA ORTEGA</t>
  </si>
  <si>
    <t>PRESENTACION JIMENEZ VIDAL</t>
  </si>
  <si>
    <t>MARIA JOSE AGUILAR RUBIO</t>
  </si>
  <si>
    <t>MARIA TRINIDAD FERNANDEZ MOLINA</t>
  </si>
  <si>
    <t>ROSARIO JIMENEZ VELA</t>
  </si>
  <si>
    <t>LEONOR ARGAL REYES</t>
  </si>
  <si>
    <t>FERNANDO MARTIN RUIZ</t>
  </si>
  <si>
    <t>MARIA ROSA LOPEZ NAVARRETE</t>
  </si>
  <si>
    <t>BAUTISTA MENDEZ TERESA</t>
  </si>
  <si>
    <t>LOPEZ BUJALANCE LUCÍA</t>
  </si>
  <si>
    <t>MARTIN CHIROSA TERESA</t>
  </si>
  <si>
    <t>YUDES MARTIN M LUISA</t>
  </si>
  <si>
    <t>GARCÍA NAVARRO ENCARNA</t>
  </si>
  <si>
    <t xml:space="preserve">CONTRERAS GONZALEZ DOLORES </t>
  </si>
  <si>
    <t>CORREDERA TAMAYO JOSÉ FRANCISCO</t>
  </si>
  <si>
    <t>RUIZ RODRIGUEZ M JOSEFA</t>
  </si>
  <si>
    <t>SANCHEZ SIERRA M LUISA</t>
  </si>
  <si>
    <t>SANCHEZ ROMERO MARÍA</t>
  </si>
  <si>
    <t>RODRIGUEZ MELGAREJO CONCEPCIÓN</t>
  </si>
  <si>
    <t>CASTRO GOMEZ ELOISA</t>
  </si>
  <si>
    <t>ESPIGARES ESPIGARES M ANGUSTIAS</t>
  </si>
  <si>
    <t>Mª INMACULADA VIVES MONTERO</t>
  </si>
  <si>
    <t>Mª CARMEN IBAÑEZ AMATE</t>
  </si>
  <si>
    <t>Mª ANTONIA SANCHEZ AVILA</t>
  </si>
  <si>
    <t>ANA Mª RUIZ ORTIZ</t>
  </si>
  <si>
    <t>Mª ROSARIO MARTIN BUENO</t>
  </si>
  <si>
    <t>Mª PILAR SANCHEZ PERALTA</t>
  </si>
  <si>
    <t>GLORIA SANCHEZ PERALTA</t>
  </si>
  <si>
    <t xml:space="preserve">JOSE LUIS AGUIRRE GALLEGO  </t>
  </si>
  <si>
    <t>Mª MILAGROS ACEBAL MIÑANO</t>
  </si>
  <si>
    <t>JOSEFA MESA MACHADO</t>
  </si>
  <si>
    <t>Javier Perez Cuadro</t>
  </si>
  <si>
    <t>De Baldomero Navarro Concepcion</t>
  </si>
  <si>
    <t>Garcia Medina Maria Asuncion</t>
  </si>
  <si>
    <t>Ines del Alamo Fuentes</t>
  </si>
  <si>
    <t>Josefa Santaella Lupiane</t>
  </si>
  <si>
    <t>Inmaculada Diaz Flores</t>
  </si>
  <si>
    <t>Antonia Bullegos Espigares</t>
  </si>
  <si>
    <t>Laura Navas Herrera</t>
  </si>
  <si>
    <t>Pilar Estrella Mansilla Guarda</t>
  </si>
  <si>
    <t>ANA CARMEN RODRIGUEZ AZNARTE</t>
  </si>
  <si>
    <t>LOURDES ROZUA  LARIOS</t>
  </si>
  <si>
    <t>CARIDA Mª LOPEZ CARMONA</t>
  </si>
  <si>
    <t>MERCEDES RIOS COLLANTES</t>
  </si>
  <si>
    <t>A/1623</t>
  </si>
  <si>
    <t>ROSA Mº LOPEZ NAVARRETE</t>
  </si>
  <si>
    <t>REME HERVIAS GARRIDO</t>
  </si>
  <si>
    <t>Mª DOLORES CABELLO GONZALEZ</t>
  </si>
  <si>
    <t>A/2655</t>
  </si>
  <si>
    <t>AGUEDA JIMENEZ IRADI</t>
  </si>
  <si>
    <t>JOSE RAMON VENTURA CARDA</t>
  </si>
  <si>
    <t>A/2658</t>
  </si>
  <si>
    <t>DOLORES ORTEGA</t>
  </si>
  <si>
    <t xml:space="preserve">MERCEDES ROJAS ONTIVEROS </t>
  </si>
  <si>
    <t>Mª TRINIDAD FERNANDEZ  MOLINA</t>
  </si>
  <si>
    <t>Mª CONCEPCION SANCHEZ MORALES</t>
  </si>
  <si>
    <t>JOSE SANCHEZ GARCIA</t>
  </si>
  <si>
    <t>A/2729</t>
  </si>
  <si>
    <t>LAURA GARCIA GONZALEZ</t>
  </si>
  <si>
    <t>JUAN MARTINEZ MARTINEZ</t>
  </si>
  <si>
    <t>Mª FRANCISCA DEL CASTILLO MARTIN</t>
  </si>
  <si>
    <t>NAWAL EL HAJI AHMID</t>
  </si>
  <si>
    <t>JOSE LIÑAN MOLINA</t>
  </si>
  <si>
    <t>Mº CARMEN ZAFRA ALVAREZ</t>
  </si>
  <si>
    <t>VICTORIAN0 MARTIN PEÑA</t>
  </si>
  <si>
    <t>MARIA SANCHEZ ROMERO</t>
  </si>
  <si>
    <t>JOSE FCO. HERAS JIMENEZ</t>
  </si>
  <si>
    <t>M Carmen Padial Lucena</t>
  </si>
  <si>
    <t>Mª Angustia Miranda Lopez</t>
  </si>
  <si>
    <t>A/2610</t>
  </si>
  <si>
    <t xml:space="preserve">Fco Garcia Hernandez </t>
  </si>
  <si>
    <t>Fco Rodriguez Rodriguez</t>
  </si>
  <si>
    <t>Bibiana Fernadez ortega</t>
  </si>
  <si>
    <t>Maria Loreto Martinez Jerez</t>
  </si>
  <si>
    <t>Rosario Ruano Cabrera</t>
  </si>
  <si>
    <t>Jesus Navas Perez</t>
  </si>
  <si>
    <t>Maria Gamiz Molina ( Aluma año 2018)</t>
  </si>
  <si>
    <t>Maria Gamiz Molina (</t>
  </si>
  <si>
    <t>Inma Vives Montero</t>
  </si>
  <si>
    <t>Juan Valverde Garcia</t>
  </si>
  <si>
    <t>Mº Rosa Navarrete Borrego</t>
  </si>
  <si>
    <t>Manuel Gonzalez Reinosa</t>
  </si>
  <si>
    <t xml:space="preserve">Joaquin Perez Blanco </t>
  </si>
  <si>
    <t>Diego Ruiz Arena</t>
  </si>
  <si>
    <t>Mª Teresa Hernadez Vallecillo</t>
  </si>
  <si>
    <t xml:space="preserve">Juana Gomez Pilares </t>
  </si>
  <si>
    <t xml:space="preserve">Ana Cervantes Barajas </t>
  </si>
  <si>
    <t>Mª Teresa Alvarez Acin</t>
  </si>
  <si>
    <t xml:space="preserve">Maria Isabel Medina Corral </t>
  </si>
  <si>
    <t>Mercedes mateo Delgado</t>
  </si>
  <si>
    <t>Antonio Torices Vilches</t>
  </si>
  <si>
    <t>Jose Perez Perez</t>
  </si>
  <si>
    <t xml:space="preserve">MIGUEL NIEVAS AGUILAR </t>
  </si>
  <si>
    <t>ISA SANTIAGO LOPEZ</t>
  </si>
  <si>
    <t>ANA CARMEN ZURITA CHACON</t>
  </si>
  <si>
    <t>VALLE LOPEZ-BARAJAS HERNANDEZ</t>
  </si>
  <si>
    <t>MARIA ANGUSTIAS CALVO LOPEZ</t>
  </si>
  <si>
    <t>RAMON ZAMBUDIO PERIAGO</t>
  </si>
  <si>
    <t>JUAN MANUEL OBREGON ZAMORANO</t>
  </si>
  <si>
    <t>INMA SERRANO DE LA PRESILLA</t>
  </si>
  <si>
    <t>ELISA RUIZ MIRANDA</t>
  </si>
  <si>
    <t>DOLORES MESA GONZALEZ</t>
  </si>
  <si>
    <t>MARIA LUISA GARZON VALDEARENAS</t>
  </si>
  <si>
    <t>ANA Mª TEJERA MARTIN</t>
  </si>
  <si>
    <t>MARI CARMEN VIVES MONTERO</t>
  </si>
  <si>
    <t>MARIA ROSA NAVARRETE BORREGO</t>
  </si>
  <si>
    <t>RAFEL RUIZ LOPEZ</t>
  </si>
  <si>
    <t>Mª ANTONIA JIMENEZ LOPEZ</t>
  </si>
  <si>
    <t>JOE MANUEL EGEA MARTINEZ</t>
  </si>
  <si>
    <t>EVA MARIA GUERRERO FERNANDEZ</t>
  </si>
  <si>
    <t>Mª ANGELES PANIZA QUIROS</t>
  </si>
  <si>
    <t>ASCENSION CALZAS URRUTIA</t>
  </si>
  <si>
    <t>Mª ISABEL ACOSTA GONZALEZ</t>
  </si>
  <si>
    <t>ROSA MARIA MILAN GUERRERO</t>
  </si>
  <si>
    <t>MOLINA CASTRO LUIS MIGUEL</t>
  </si>
  <si>
    <t>Mª TRINIDAD FERNANDEZ MOLINA</t>
  </si>
  <si>
    <t>FCA DE PAULA GONZALEZ CARRION</t>
  </si>
  <si>
    <t>CLARA JIMENE3Z NAVARRO</t>
  </si>
  <si>
    <t>JOSE FCO LORENZO ROJAS</t>
  </si>
  <si>
    <t>ANA Mª MARTINEZ MERLO</t>
  </si>
  <si>
    <t>Mª AMOR ESCOBAR CARDENETE</t>
  </si>
  <si>
    <t>MARIBEL ALCONCHEL NAVARRO</t>
  </si>
  <si>
    <t>Mª CARME3N ZAFRA ALVAREZ</t>
  </si>
  <si>
    <t>ANTONIO GALLEGO LORCA</t>
  </si>
  <si>
    <t>VALLE LOPEZ BARAJAS</t>
  </si>
  <si>
    <t>A/2795</t>
  </si>
  <si>
    <t>INMACULADA GARCIA</t>
  </si>
  <si>
    <t>Revisar</t>
  </si>
  <si>
    <t>MATI ENRIQUEZ GAMEZ</t>
  </si>
  <si>
    <t>ALICIA GOMEZ ALONSO</t>
  </si>
  <si>
    <t>JOSE ANGEL CONTRERAS HORTELANO</t>
  </si>
  <si>
    <t>A/P HERAS</t>
  </si>
  <si>
    <t>JOSEFA SANCHO LLEDO</t>
  </si>
  <si>
    <t>FRANCISCA HINOJOSA LIZANA</t>
  </si>
  <si>
    <t>JOSEFA MARTINEZ TIRADO</t>
  </si>
  <si>
    <t>ANA MARIA CALZAS URRUTIA</t>
  </si>
  <si>
    <t>Mª CARMEN PADIAL LUCENA</t>
  </si>
  <si>
    <t>ASCENSION VAZQUEZ QUERO</t>
  </si>
  <si>
    <t>FCA. DE PAULA GONZALEZ CARRION</t>
  </si>
  <si>
    <t>FCA. GARCIA GOMEZ</t>
  </si>
  <si>
    <t>ANTONIO LARA ARCO</t>
  </si>
  <si>
    <t>MARÍA ADELA MARTÍN RUEDA</t>
  </si>
  <si>
    <t>Mª AMALIA GONZÁLEZ MARTÍNEZ</t>
  </si>
  <si>
    <t>MARÍA ENCARNACIÓN LÓPEZ GARCÍA</t>
  </si>
  <si>
    <t>MARÍA AGUEDA SÁNCHEZ SUAREZ</t>
  </si>
  <si>
    <t>CARMEN RUBIO MORENO</t>
  </si>
  <si>
    <t>ANA PILAR CRESPO LÓPEZ</t>
  </si>
  <si>
    <t>NEMESIA ALGAR MARTOS</t>
  </si>
  <si>
    <t>MIGUEL NIEVAS AGUILAR</t>
  </si>
  <si>
    <t>MIGUEL VALDEARENAS CASTRO</t>
  </si>
  <si>
    <t>MARÍA ANGUSTIAS BARNES MARTÍN</t>
  </si>
  <si>
    <t>CARMEN MORENO CÁMARA</t>
  </si>
  <si>
    <t>ISABEL SANTIAGO LÓPEZ</t>
  </si>
  <si>
    <t>ROSARIO SAMOS GAMO</t>
  </si>
  <si>
    <t>CONSUELO PADILLA RIVERA</t>
  </si>
  <si>
    <t>ENCARNACIÓN CALVO PÉREZ</t>
  </si>
  <si>
    <t xml:space="preserve">  A/2757</t>
  </si>
  <si>
    <t>GLORIA ADARVE LÓPEZ</t>
  </si>
  <si>
    <t>ASCENSIÓN CASTILLO NADALES</t>
  </si>
  <si>
    <t>MARÍA SALGUERO GARCÍA</t>
  </si>
  <si>
    <t>ESTEBAN PÉREZ MALDONADO</t>
  </si>
  <si>
    <t>MARÍA ROSA GARCÍA HERNÁNDEZ</t>
  </si>
  <si>
    <t>JOSEFA CAMPOS RODRÍGUEZ</t>
  </si>
  <si>
    <t>MARÍA MARTA ARANDA BALLESTEROS</t>
  </si>
  <si>
    <t>FRANCISCA JEREZ OSORIO</t>
  </si>
  <si>
    <t>CARMEN CRUZ RODRÍGUEZ</t>
  </si>
  <si>
    <t>EMILIA CRUZ RODRÍGUEZ</t>
  </si>
  <si>
    <t>JUAN JOSÉ JIMÉNEZ CASTRO</t>
  </si>
  <si>
    <t>JUANI QUIÑONES LÓPEZ</t>
  </si>
  <si>
    <t>ANTONIA RIVAS FERNÁNDEZ</t>
  </si>
  <si>
    <t>MARÍA ÁNGELES DUARTE MOTA</t>
  </si>
  <si>
    <t>ROSARIO PAIZ GARCÍA</t>
  </si>
  <si>
    <t>PASCUAL SÁNCHEZ GÓMEZ</t>
  </si>
  <si>
    <t>MARÍA DEL MAR ABAD ORTEGA</t>
  </si>
  <si>
    <t>CHAMORRO BARRIONUEVO GÁDOR</t>
  </si>
  <si>
    <t>GUERRERO BARQUERO JOSÉ ANTONIO</t>
  </si>
  <si>
    <t>A/2482</t>
  </si>
  <si>
    <t>ANTONIO GALVEZ DELGADO</t>
  </si>
  <si>
    <t>ALEJANDRO RAMIREZ RAMIREZ</t>
  </si>
  <si>
    <t>JUAN MIGUEL MARTINEZ ALBARRACIN</t>
  </si>
  <si>
    <t>JUAN PABLO CALVO HERNADO</t>
  </si>
  <si>
    <t>MARIA TERESA SANCHEZ TEJERO</t>
  </si>
  <si>
    <t>RAMOS ZAMBUDIO PERIAGO</t>
  </si>
  <si>
    <t>JOSÉ DÍAZ RODRÍGUEZ</t>
  </si>
  <si>
    <t>Mª FRANCISCA SUÁREZ SOLANA</t>
  </si>
  <si>
    <t>ELISA HURTADO ROMERO</t>
  </si>
  <si>
    <t>JOSÉ Mª RUIZ RODRIGUEZ</t>
  </si>
  <si>
    <t>MARÍA CORRAL SOLA</t>
  </si>
  <si>
    <t>FRANCISCO GIL SEGURA</t>
  </si>
  <si>
    <t>Mª ISABEL PINEL MARTIN</t>
  </si>
  <si>
    <t>CARMEN RIBES GUILL</t>
  </si>
  <si>
    <t>MERCEDES MARTIN CABESTRERO</t>
  </si>
  <si>
    <t>ANTONIA RIVAS FERNANDEZ</t>
  </si>
  <si>
    <t>Mª ANGUSTIA GARCIA GARCIA</t>
  </si>
  <si>
    <t>ANA MOLINA PEREA</t>
  </si>
  <si>
    <t>Mª DOLORES ROMERO MARTINEZ</t>
  </si>
  <si>
    <t>MARIA PILAR LOPEZ RUBIO</t>
  </si>
  <si>
    <t>MARTA MARIN FANLO</t>
  </si>
  <si>
    <t>MARIA DOLORES RUIZ SANCHEZ</t>
  </si>
  <si>
    <t>MARIA SANTOS RODRIGUEZ</t>
  </si>
  <si>
    <t>SALUD GRANDAS MARTIN</t>
  </si>
  <si>
    <t>ROSALIA GARCIA JIMENEZ</t>
  </si>
  <si>
    <t>MARIA LUISA SERRANO GARCIA</t>
  </si>
  <si>
    <t>MARIA ISABEL ARCOS MARTINEZ</t>
  </si>
  <si>
    <t>MERCEDES ROSARIO GAMEZ PIÑAR</t>
  </si>
  <si>
    <t>EVA MARIA VILLEN MOLINA</t>
  </si>
  <si>
    <t>ANUNCIACION GONZALEZ MAROTO</t>
  </si>
  <si>
    <t>ENCARNACION AVILA NIEVAS</t>
  </si>
  <si>
    <t>MARIA FRANCISCA DEL ORO VILLORA</t>
  </si>
  <si>
    <t>MARI ANGELES ORTIZ RUIZ</t>
  </si>
  <si>
    <t>ADORACION MORENO RAYA</t>
  </si>
  <si>
    <t>MARIA DE GADOR RODA SANCHEZ</t>
  </si>
  <si>
    <t>MARIA JOSE GONZALEZ PEREZ</t>
  </si>
  <si>
    <t>Maria Eva Gonzalez Maroto</t>
  </si>
  <si>
    <t>Mª Carmen Chamorro Muñoz</t>
  </si>
  <si>
    <t>Mº Angustia Martinez Herrera</t>
  </si>
  <si>
    <t>Pruficacion Tejada Sancehz</t>
  </si>
  <si>
    <t>VALLE LOPEZ BARAJAS HERNANDEZ</t>
  </si>
  <si>
    <t>MIGUEL BONAL GARCIA</t>
  </si>
  <si>
    <t>MARIA DOLORES SANCHEZ CARMONA</t>
  </si>
  <si>
    <t>MARGARITA GARCIA- ALONSO BERMEJO</t>
  </si>
  <si>
    <t>ASCENSION SANCHEZ LUBIAN</t>
  </si>
  <si>
    <t>ROMERO CALLE Mª DEL CARMEN</t>
  </si>
  <si>
    <t>RICO HENARES Mª CLARA</t>
  </si>
  <si>
    <t>GUARDIAS MANSILLA ELODIA</t>
  </si>
  <si>
    <t>PEREZ CANO ISABEL</t>
  </si>
  <si>
    <t>NAVARRETE BORREGO Mª ROSA</t>
  </si>
  <si>
    <t>LOP'EZ ROSA ANA</t>
  </si>
  <si>
    <t>LAZUEN ALCON Mª ANGUSTIAS</t>
  </si>
  <si>
    <t>CARRILLO CAMACHO JESUS</t>
  </si>
  <si>
    <t>JIMENEZ GARCIA ANA</t>
  </si>
  <si>
    <t>GARCIA FERNANDEZ JOSE ENRIQUE</t>
  </si>
  <si>
    <t>IBAÑEZ GOMEZ FRANCISCA</t>
  </si>
  <si>
    <t>MORALES MONTALBAN Mª ANGELES</t>
  </si>
  <si>
    <t>RODRIGUEZ GUTIERREZ FCO ANTONIO</t>
  </si>
  <si>
    <t>SALGUERO GARCIA Mª DOLORES</t>
  </si>
  <si>
    <t>CATILLO RUIZ ANGELES</t>
  </si>
  <si>
    <t>GILA JUSTICIA MARIA</t>
  </si>
  <si>
    <t>MOLINA VALERO CONCEPCION</t>
  </si>
  <si>
    <t>GONZALEZ IAÑEZ MARIO</t>
  </si>
  <si>
    <t>PEREZ CRESPO EVA</t>
  </si>
  <si>
    <t>CASADO JIMENEZ Mª DOLORES</t>
  </si>
  <si>
    <t>MARTINEZ MARTINEZ LOLA</t>
  </si>
  <si>
    <t>RODRIGUEZ MESA JUANA Mª</t>
  </si>
  <si>
    <t>MARTIN ROMERA Mª ANGELES</t>
  </si>
  <si>
    <t>RUIZ RODRIGUEZ PEPA</t>
  </si>
  <si>
    <t>IZQUIERDO RIVAS CARLOS</t>
  </si>
  <si>
    <t>RODRIGUEZ PUERTA JESUS MIGUEL</t>
  </si>
  <si>
    <t>HERAS JIMENEZ JOSE FRANCISCO</t>
  </si>
  <si>
    <t>SANCHO LLEDO PEPA</t>
  </si>
  <si>
    <t>Mª JOSE LEON CRUZ</t>
  </si>
  <si>
    <t>INMACULADA MARTINEZ LOZANO</t>
  </si>
  <si>
    <t>NUEVO SOCIO</t>
  </si>
  <si>
    <t>MARGARITA JIMENEZ ALCAIDE</t>
  </si>
  <si>
    <t>Mª ANGUSTIAS MIRANDA LOPEZ</t>
  </si>
  <si>
    <t>ANGELES GARCIA FERNANDEZ</t>
  </si>
  <si>
    <t>Mª ANGUSTIAS BUENDIAZ RAYAS</t>
  </si>
  <si>
    <t>PATRICIA POWER MEJON</t>
  </si>
  <si>
    <t>SALVADORA MORENO MORENO</t>
  </si>
  <si>
    <t>ISABEL CAAMAÑO ROMERO</t>
  </si>
  <si>
    <t>ISABEL BAÑOS RAMOS</t>
  </si>
  <si>
    <t>MARIA TORRES RODRIGUEZ</t>
  </si>
  <si>
    <t>MARIA DOLORES GARCIA SEGURA</t>
  </si>
  <si>
    <t>VICENTA GUTIERREZ MELENDEZ</t>
  </si>
  <si>
    <t>Encarnacion Ortega Martin</t>
  </si>
  <si>
    <t>Isabel Sancho Ponce</t>
  </si>
  <si>
    <t>Rosa Palacios Cases</t>
  </si>
  <si>
    <t>Purificacion Juez Alonso</t>
  </si>
  <si>
    <t>Julia Calbrus Caraza</t>
  </si>
  <si>
    <t>Nemesia Argar Martos</t>
  </si>
  <si>
    <t>Maria Angustias Barner Martin</t>
  </si>
  <si>
    <t xml:space="preserve">Carmen Rubio </t>
  </si>
  <si>
    <t xml:space="preserve">Pilar Torres Perea </t>
  </si>
  <si>
    <t>Leonor Algar Reyes</t>
  </si>
  <si>
    <t>Gabriel lopez Barrera</t>
  </si>
  <si>
    <t>Irene Rodríguez Ortíz</t>
  </si>
  <si>
    <t>Inmaculada Cañavate</t>
  </si>
  <si>
    <t>Sofia Montoro Garcia</t>
  </si>
  <si>
    <t>Cristobal Lopez Hidalgo</t>
  </si>
  <si>
    <t>Luis Miguel Molina Castro</t>
  </si>
  <si>
    <t>Maria Trinidad Fernandez</t>
  </si>
  <si>
    <t>Francisca Ortega Ocaña</t>
  </si>
  <si>
    <t>Antonia Rivas Fernandez</t>
  </si>
  <si>
    <t>Manuel Zurita Jimenez</t>
  </si>
  <si>
    <t>A/2855</t>
  </si>
  <si>
    <t>Maria del Carmen Morayon Fuentes</t>
  </si>
  <si>
    <t>Maria Carmen Estevez Marquez</t>
  </si>
  <si>
    <t xml:space="preserve"> </t>
  </si>
  <si>
    <t>JOSE GARCIA PUGA</t>
  </si>
  <si>
    <t>MARIA RUEDA JIMENEZ</t>
  </si>
  <si>
    <t>RAQUEL RAGA TORREBLANCA</t>
  </si>
  <si>
    <t>GABRIELA MARIN RODRIGUEZ</t>
  </si>
  <si>
    <t xml:space="preserve">ISABEL MARIN RODRIGUEZ </t>
  </si>
  <si>
    <t>MARIA SALGUERO GARCIA</t>
  </si>
  <si>
    <t>MARIA JOSE PEREZ SANCHEZ</t>
  </si>
  <si>
    <t>MARIA DOLORES PEREA CARPIO</t>
  </si>
  <si>
    <t>LOPEZ FERRO CARMEN</t>
  </si>
  <si>
    <t>GONZALEZ REINOSA MANUEL</t>
  </si>
  <si>
    <t>SANCHO LLEDÓ JOSEFA</t>
  </si>
  <si>
    <t>CAÑAVATE FERNANDEZ INMA</t>
  </si>
  <si>
    <t>A/2794</t>
  </si>
  <si>
    <t>Encarnacion Rodriguez Ortega</t>
  </si>
  <si>
    <t>Maribel Guzman Delgado</t>
  </si>
  <si>
    <t>Emilia Ruiz Rodriguez</t>
  </si>
  <si>
    <t>Pedro Navarro Medina</t>
  </si>
  <si>
    <t>Obdulia Fernandez Caña</t>
  </si>
  <si>
    <t>M GADOR RODA</t>
  </si>
  <si>
    <t>A/2835</t>
  </si>
  <si>
    <t>ACOMPAÑANTE RODA</t>
  </si>
  <si>
    <t>M LUISA SANCHEZ</t>
  </si>
  <si>
    <t>MARIA PUERTAS CRUZ</t>
  </si>
  <si>
    <t>MARIO AMAT BLANCO</t>
  </si>
  <si>
    <t>M TERESA ROZUA</t>
  </si>
  <si>
    <t>LOURDES ROZUA</t>
  </si>
  <si>
    <t>M ANGELES ORTIZ</t>
  </si>
  <si>
    <t>AMPARO COBO</t>
  </si>
  <si>
    <t>A/2870</t>
  </si>
  <si>
    <t xml:space="preserve">JOSE AVIDAD </t>
  </si>
  <si>
    <t>ANA ARIZA</t>
  </si>
  <si>
    <t>M CARMEN RUIZ LOPEZ</t>
  </si>
  <si>
    <t>JUAN JOSE VILLOSLADA ARELLANO</t>
  </si>
  <si>
    <t>A/</t>
  </si>
  <si>
    <t>JUAN ANTONIO MENDEZ</t>
  </si>
  <si>
    <t>PAZ FERNANDEZ</t>
  </si>
  <si>
    <t>Miguel Nbievas Aguilar</t>
  </si>
  <si>
    <t>Francisca Paula González Carrión</t>
  </si>
  <si>
    <t>Pilar Torres Perera</t>
  </si>
  <si>
    <t>José Jorge Hernández Magdalena</t>
  </si>
  <si>
    <t>Roser Buscaróns</t>
  </si>
  <si>
    <t>Elías Gil deAvalle Montes</t>
  </si>
  <si>
    <t>A/2802</t>
  </si>
  <si>
    <t>María Cobos Ibáñez</t>
  </si>
  <si>
    <t>Pilar de Macua Montey</t>
  </si>
  <si>
    <t>Maria Dolores Canarero Caballero</t>
  </si>
  <si>
    <t>Encarnacion Muro Jimenez</t>
  </si>
  <si>
    <t>Carmen Romero Calle</t>
  </si>
  <si>
    <t>M Carmen Ruiz Sanchez</t>
  </si>
  <si>
    <t>CERVILLA MARTIN JULIA</t>
  </si>
  <si>
    <t>M Carmen Fernandez Fernandez</t>
  </si>
  <si>
    <t>PIEDAD SROIANO BASTIDA</t>
  </si>
  <si>
    <t>MYONG JA SHIN LEE</t>
  </si>
  <si>
    <t>A/2742</t>
  </si>
  <si>
    <t>PIEDAD</t>
  </si>
  <si>
    <t>5,OO</t>
  </si>
  <si>
    <t>ENRIQUEZ GAMEZ MATILDE</t>
  </si>
  <si>
    <t>DOMINGUEZ VILLANUEVA M ISABEL</t>
  </si>
  <si>
    <t>PANIZA QUIROS M ISABEL</t>
  </si>
  <si>
    <t>ALVARADO GALLEGO</t>
  </si>
  <si>
    <t>MORENO FILGUERAS CONCEPCION</t>
  </si>
  <si>
    <t>A/2707</t>
  </si>
  <si>
    <t>ALMECIJA FERNANDEZ ENCARNACION</t>
  </si>
  <si>
    <t>ROLDAN LEON M TRINIDAD</t>
  </si>
  <si>
    <t>MALDONADO MARTINEZ JOSEFINA</t>
  </si>
  <si>
    <t>Julio Moyano Redondo</t>
  </si>
  <si>
    <t>Mª Trinidad Morales García</t>
  </si>
  <si>
    <t>Remedios Hervias Garrido</t>
  </si>
  <si>
    <t>Ángeles García Fernández</t>
  </si>
  <si>
    <t>A/2567</t>
  </si>
  <si>
    <t>Roberto Gil Muñoz</t>
  </si>
  <si>
    <t>A/2575</t>
  </si>
  <si>
    <t>Francisca García Fernández</t>
  </si>
  <si>
    <t>Ana Romero Funes</t>
  </si>
  <si>
    <t>Francisco Malagón Villén</t>
  </si>
  <si>
    <t>Ángeles Castillo Ruiz</t>
  </si>
  <si>
    <t>A/2582</t>
  </si>
  <si>
    <t>Encarni Ventura Jiménez</t>
  </si>
  <si>
    <t>Pilar Torres Perea</t>
  </si>
  <si>
    <t>Mª Dolores Conde Ayala</t>
  </si>
  <si>
    <t>Juan R. Jiménez Ramos</t>
  </si>
  <si>
    <t>Mª Carmen Fernández Fernández</t>
  </si>
  <si>
    <t>Francisca Fernández Fernández</t>
  </si>
  <si>
    <t>Encarna Ortega Martín</t>
  </si>
  <si>
    <t>Mercedes García Martínez</t>
  </si>
  <si>
    <t>Mª Dolores Cantarero Caballero</t>
  </si>
  <si>
    <t>José Antonio Garrido García</t>
  </si>
  <si>
    <t>Pilar de Maqua Monteys</t>
  </si>
  <si>
    <t>Isabel Morales González</t>
  </si>
  <si>
    <t>Antonio Jiménez Aguilar</t>
  </si>
  <si>
    <t>BIBIANA RODRIGUEZ RODRIGUEZ</t>
  </si>
  <si>
    <t>JAVIER RODRIGUEZ RODRIGUEZ</t>
  </si>
  <si>
    <t>MARILUZ BELTRAN CABRERA</t>
  </si>
  <si>
    <t>CARMEN CANO SANCHEZ</t>
  </si>
  <si>
    <t>MARIBEL GUZMAN DELGADO</t>
  </si>
  <si>
    <t>VALVERDE GARCÍA JUAN</t>
  </si>
  <si>
    <t>VIVES MONTERO INMACULADA</t>
  </si>
  <si>
    <t>CAÑAVATE FERNANDEZ CARMINA</t>
  </si>
  <si>
    <t>CONSUEGRA NAVARRO JOSE M</t>
  </si>
  <si>
    <t>MESA GONZALEZ LOLA</t>
  </si>
  <si>
    <t>OCON MOLINA ROSARIO</t>
  </si>
  <si>
    <t>A/2670</t>
  </si>
  <si>
    <t>OCON MOLINA ALICIA</t>
  </si>
  <si>
    <t>ALCALDE CASTILLA ANTONIO</t>
  </si>
  <si>
    <t>ESTEVEZ MARQUEZ M CARMEN</t>
  </si>
  <si>
    <t>A/2609</t>
  </si>
  <si>
    <t>HISPAN MOLINA LAURA</t>
  </si>
  <si>
    <t>ACEBES ORIHUELA FRANCISCA</t>
  </si>
  <si>
    <t>CALVO LOPEZ M ANGUSTIAS</t>
  </si>
  <si>
    <t>BAENA CORTES RAFAEL</t>
  </si>
  <si>
    <t>CARMONA CASAS CARMEN</t>
  </si>
  <si>
    <t>CRESPO LOPEZ M PILAR</t>
  </si>
  <si>
    <t>ZUÑIGA GOMEZ M ANGUSTIAS</t>
  </si>
  <si>
    <t>TEJADA SANCHEZ PURIFICACIÓN</t>
  </si>
  <si>
    <t>AZNAR LARA ANTONIO</t>
  </si>
  <si>
    <t>BALLESTA  MARTINEZ BEATRIZ</t>
  </si>
  <si>
    <t>MAÑAS VILCHEZ ROSA M</t>
  </si>
  <si>
    <t>ANDRES APARICIO SALUD</t>
  </si>
  <si>
    <t>TORICES VILCHEZ ANTONIO</t>
  </si>
  <si>
    <t>ROJAS ONTIVEROS MERCEDES</t>
  </si>
  <si>
    <t>MATEOS DELGADO MERCEDES</t>
  </si>
  <si>
    <t>SEGURA HERRERA LEONARDO</t>
  </si>
  <si>
    <t>PEREZ BLANCO JOSÉ J</t>
  </si>
  <si>
    <t>Ana Carmen Zurita Chacón</t>
  </si>
  <si>
    <t>Margarita Jiménez Alcaide</t>
  </si>
  <si>
    <t>20-11-23,</t>
  </si>
  <si>
    <t>Mª Angustias Espigares Espigares</t>
  </si>
  <si>
    <t>Carmen Rubio Moreno</t>
  </si>
  <si>
    <t>Nemesia Algar Martos</t>
  </si>
  <si>
    <t>Mariam Barnes Martín</t>
  </si>
  <si>
    <t>Mª Ángeles Ortiz Ruiz</t>
  </si>
  <si>
    <t>Adoración Moreno Raya</t>
  </si>
  <si>
    <t>Mª José González Pérez</t>
  </si>
  <si>
    <t>Mª Ángeles Ortíz Ruiz</t>
  </si>
  <si>
    <t>Gador Roda Sánchez</t>
  </si>
  <si>
    <t>Mari Carmen Padial Lucena</t>
  </si>
  <si>
    <t>Encarna Ortega Martin</t>
  </si>
  <si>
    <t>Asuncion Sanchez Lubian</t>
  </si>
  <si>
    <t>Inma Diaz Flores</t>
  </si>
  <si>
    <t>Maribel Alvarado Gallego</t>
  </si>
  <si>
    <t>Mº Carmen Vega Ramirez</t>
  </si>
  <si>
    <t xml:space="preserve">Lola Martinez Martinez </t>
  </si>
  <si>
    <t>Juan Miguel MARTINEZ ALBARRACIN</t>
  </si>
  <si>
    <t>Concepcion Garcia Alonso</t>
  </si>
  <si>
    <t>TERRESA GARCIA LLAMAS</t>
  </si>
  <si>
    <t>22-11-.23</t>
  </si>
  <si>
    <t>MIYONG JA SHIN LEE</t>
  </si>
  <si>
    <t>ASUNCION GONZALEZ MAROTO</t>
  </si>
  <si>
    <t>INMA SANCHEZ IRUELA</t>
  </si>
  <si>
    <t>JESUS NAVAS PEREZ</t>
  </si>
  <si>
    <t>A/2791</t>
  </si>
  <si>
    <t>JOSE CASTILLO SALAS</t>
  </si>
  <si>
    <t>A/2790</t>
  </si>
  <si>
    <t>ANARUANO CABRERA</t>
  </si>
  <si>
    <t>A/2831</t>
  </si>
  <si>
    <t>ARTURO AGUADO RODRIGUEZ</t>
  </si>
  <si>
    <t>A/2784</t>
  </si>
  <si>
    <t>MARI CARMEN MEGIAS FERNANDEZ</t>
  </si>
  <si>
    <t>MARIA ANGUSTIAS BUENDIA RAYA</t>
  </si>
  <si>
    <t>LUIS CARLOS IZQUIERDO RIVAS</t>
  </si>
  <si>
    <t>HISPAN MORENO LAURA</t>
  </si>
  <si>
    <t>CRESPO LOPEZ ANA</t>
  </si>
  <si>
    <t>ORTEGA MARTIN ENCARNACIÓN</t>
  </si>
  <si>
    <t>CONSUEGRA NAVARRO JOSÉ M</t>
  </si>
  <si>
    <t>ALVARO RAMOS RIVAS</t>
  </si>
  <si>
    <t>ANA MARIA RUIZ</t>
  </si>
  <si>
    <t>Mª MERCEDES PINO RODRIGUEZ</t>
  </si>
  <si>
    <t>CELIA SANCHEZ DOMINGUEZ</t>
  </si>
  <si>
    <t>LOLA ROMAN ENRIQUEZ</t>
  </si>
  <si>
    <t>EMILIA CRUZ RODRIGUEZ</t>
  </si>
  <si>
    <t>DEVOLUCION CAMARATE</t>
  </si>
  <si>
    <t>CARMEN CRUZ RODRIGUEZ</t>
  </si>
  <si>
    <t>Mª ROSA NAVARRETE BORREGO</t>
  </si>
  <si>
    <t>Mº CARMEN FERNADEZ FERNADEZ</t>
  </si>
  <si>
    <t>FRANCISCA FERNADEZ FERNADEZ</t>
  </si>
  <si>
    <t>Milagros Raga Torreblanca</t>
  </si>
  <si>
    <t>Margarita Blasco Azaustre</t>
  </si>
  <si>
    <t>CENTRO CULTURAL C/G</t>
  </si>
  <si>
    <t>Mª Rosa García Hernández</t>
  </si>
  <si>
    <t>Devol.</t>
  </si>
  <si>
    <t xml:space="preserve">Mª AGUSTIAS MOLINA QUESADA </t>
  </si>
  <si>
    <t>PASCUAL SANCHHEZ GOMEZ</t>
  </si>
  <si>
    <t>Mª MAR ABAD ORTEGA</t>
  </si>
  <si>
    <t>ALCALA VILCHEZ MANUEL</t>
  </si>
  <si>
    <t>GARCÍA ORTEGA CONCHI</t>
  </si>
  <si>
    <t>MOYA GARCIA JOSÉ</t>
  </si>
  <si>
    <t>BOLIVAR PEREZ MARGARITA</t>
  </si>
  <si>
    <t>MONTIJANO RODRIGUEZ AMALIA</t>
  </si>
  <si>
    <t>PICHEL CARLOS</t>
  </si>
  <si>
    <t>JIMENEZ TROYA VISITACION</t>
  </si>
  <si>
    <t>RAFAELMARIDO DE VISI</t>
  </si>
  <si>
    <t>DOMINGUEZ ANA</t>
  </si>
  <si>
    <t>WUAN</t>
  </si>
  <si>
    <t>MIGUEL MORALES ANA ( DE PIEDAD)</t>
  </si>
  <si>
    <t>CABALLERO BUENO INMA ( IRENE)</t>
  </si>
  <si>
    <t>Maria Josefa Diaz Carrillo</t>
  </si>
  <si>
    <t>Mercedes Izquierdo Ocaña</t>
  </si>
  <si>
    <t>FRANCISCO MELLADO SUAREZ</t>
  </si>
  <si>
    <t>CATALINA MARTINEZ CUESTA</t>
  </si>
  <si>
    <t>MARIA TERESA MONTERO ORTIZ</t>
  </si>
  <si>
    <t>ISABEL CARMONA MUÑOZ</t>
  </si>
  <si>
    <t>ANA JIMENEZ GARCIA</t>
  </si>
  <si>
    <t>LE FALTABA</t>
  </si>
  <si>
    <t>ENCARNACION DOMINGO JARAMILLO</t>
  </si>
  <si>
    <t>MªANTONIA LOPEZ SENISE</t>
  </si>
  <si>
    <t>ENCARNACION ALMECIJA FERNANDEZ</t>
  </si>
  <si>
    <t>CONCEPCION MORENO FIGUERAS</t>
  </si>
  <si>
    <t>MªCARMEN PADIAL LUCENA</t>
  </si>
  <si>
    <t>N/SOCIO</t>
  </si>
  <si>
    <t>FRANCISCO ORTIZ CANO</t>
  </si>
  <si>
    <t>Mª DEL MAR ABAD ORTEGA</t>
  </si>
  <si>
    <t>JIMENEZ FERNANDEZ MARIA TERESA</t>
  </si>
  <si>
    <t>A/2275</t>
  </si>
  <si>
    <t>Jose Vilchez Gonzalez</t>
  </si>
  <si>
    <t>COD</t>
  </si>
  <si>
    <t>CUOTA SOCIO</t>
  </si>
  <si>
    <t>DEVOLUCION</t>
  </si>
  <si>
    <t>DNI</t>
  </si>
  <si>
    <t>DOMICILIO</t>
  </si>
  <si>
    <t>COD. POSTAL</t>
  </si>
  <si>
    <t>MUNICIPIO</t>
  </si>
  <si>
    <t>TELEFONO</t>
  </si>
  <si>
    <t>CORREO</t>
  </si>
  <si>
    <t>1121212A</t>
  </si>
  <si>
    <t>PETRA,32</t>
  </si>
  <si>
    <t>GRANADA</t>
  </si>
  <si>
    <t>pepe@dsds</t>
  </si>
  <si>
    <t>PETRA,33</t>
  </si>
  <si>
    <t>PETRA,34</t>
  </si>
  <si>
    <t>PETRA,35</t>
  </si>
  <si>
    <t>PETRA,36</t>
  </si>
  <si>
    <t>PETRA,37</t>
  </si>
  <si>
    <t>PETRA,38</t>
  </si>
  <si>
    <t>PETRA,39</t>
  </si>
  <si>
    <t>PETRA,40</t>
  </si>
  <si>
    <t>PETRA,41</t>
  </si>
  <si>
    <t>PETRA,42</t>
  </si>
  <si>
    <t>PETRA,43</t>
  </si>
  <si>
    <t>PETRA,44</t>
  </si>
  <si>
    <t>PETRA,45</t>
  </si>
  <si>
    <t>PETRA,46</t>
  </si>
  <si>
    <t>PETRA,47</t>
  </si>
  <si>
    <t>PETRA,48</t>
  </si>
  <si>
    <t>PETRA,49</t>
  </si>
  <si>
    <t>PETRA,50</t>
  </si>
  <si>
    <t>ACOMPAÑANTE</t>
  </si>
  <si>
    <t>RECIBO Nº</t>
  </si>
  <si>
    <t>ALUMA</t>
  </si>
  <si>
    <t>ASOCIACIÓN DE ALUMNOS DEL AULA</t>
  </si>
  <si>
    <t>PERMANENTE DE FORMACIÓN ABIERTA</t>
  </si>
  <si>
    <t>UNIVERSIDAD DE GRANADA</t>
  </si>
  <si>
    <t>N.I.F.  G18429068</t>
  </si>
  <si>
    <t>Avd. Madrid, 3 Espacio V Centenario</t>
  </si>
  <si>
    <t>18070 - GRANADA</t>
  </si>
  <si>
    <t xml:space="preserve">Hemos recibido de </t>
  </si>
  <si>
    <t>NUMERO</t>
  </si>
  <si>
    <t>SOCIO</t>
  </si>
  <si>
    <t>COMIDA NAVIDAD</t>
  </si>
  <si>
    <t>DEHESA DEL CAMARATE</t>
  </si>
  <si>
    <t>SAN JUAN DE DIOS</t>
  </si>
  <si>
    <t>CUOTA NUEVO SOCIO</t>
  </si>
  <si>
    <t>en concepto de</t>
  </si>
  <si>
    <t>BULLEJOS ESPIGARES, ANTONIA</t>
  </si>
  <si>
    <t>ALCALDE CASTILLA, ANTONIO</t>
  </si>
  <si>
    <t>ORTIZ RAMA, ANA</t>
  </si>
  <si>
    <t>IZQUIERDO OCAÑA, MERCEDES</t>
  </si>
  <si>
    <t>SHIN LEE, MYONG JA</t>
  </si>
  <si>
    <t>CORRAL SOLA, MARÍA</t>
  </si>
  <si>
    <t>CONTRERAS GONZÁLEZ, DOLORES</t>
  </si>
  <si>
    <t>RUIZ POZO, ENCARNACIÓN</t>
  </si>
  <si>
    <t>CASTRO HERRERO, Mª SOL</t>
  </si>
  <si>
    <t>PALACIOS COBOS, MARIA FELISA</t>
  </si>
  <si>
    <t>JIMÉNEZ ALCAIDE, MARGARITA</t>
  </si>
  <si>
    <t>AMAT BLANCO, MARIO</t>
  </si>
  <si>
    <t>VARGAS MARTOS, MARÍA</t>
  </si>
  <si>
    <t xml:space="preserve">ROJAS ONTIVEROS, MERCEDES </t>
  </si>
  <si>
    <t>MORALES GARCÍA, Mª TRINIDAD</t>
  </si>
  <si>
    <t>TORRES PEREA, PILAR</t>
  </si>
  <si>
    <t>MALAGON VILLEN, FRANCISCO</t>
  </si>
  <si>
    <t>ARCO LARA, MARIA ASUNCION</t>
  </si>
  <si>
    <t>MIRANDA LOPEZ, MARIA ANGUSTIAS</t>
  </si>
  <si>
    <t>GUERRERO BARQUERO, JOSE ANTONIO</t>
  </si>
  <si>
    <t>GARCIA HERNANDEZ, MARIA ROSA</t>
  </si>
  <si>
    <t>HARO ARRABAL, AFRICA</t>
  </si>
  <si>
    <t>ACEBAL MIÑANO, MARIA DEL MILAGRO</t>
  </si>
  <si>
    <t>ACEBES ORIHUELA, FRANCISCA</t>
  </si>
  <si>
    <t>ACEÑA CABALLERO, JUAN FRANCISCO</t>
  </si>
  <si>
    <t xml:space="preserve">AGUIRRE GALLEGO, JOSE LUIS       </t>
  </si>
  <si>
    <t>ALGAR REYES , LEONOR</t>
  </si>
  <si>
    <t>ALONSO SAEZ, INMACULADA</t>
  </si>
  <si>
    <t>ALVAREZ DE CIENFUEGOS LOPEZ, CARMEN</t>
  </si>
  <si>
    <t>ANDRES APARICIO, SALUD</t>
  </si>
  <si>
    <t>ARAGON ALVAREZ, JOSE MARIA</t>
  </si>
  <si>
    <t xml:space="preserve">ARANDA BALLESTEROS, MARIA MARTA      </t>
  </si>
  <si>
    <t>AVILA MONTERO, MARIA ANGUSTIAS</t>
  </si>
  <si>
    <t>AZNAR LARA, ANTONIO</t>
  </si>
  <si>
    <t>BACHS RIVERO, ENRIQUE</t>
  </si>
  <si>
    <t>BAENA CORTES, RAFAEL</t>
  </si>
  <si>
    <t>BALLESTA MARTINEZ, BEATRIZ</t>
  </si>
  <si>
    <t>BAÑOS RAMOS , ISABEL</t>
  </si>
  <si>
    <t>BARRERA PERTIÑEZ, MONTSERRAT</t>
  </si>
  <si>
    <t xml:space="preserve">BATLLES PUCHOL, CARLOS </t>
  </si>
  <si>
    <t>BAUTISTA MENDEZ, TERESA</t>
  </si>
  <si>
    <t>BELMONTE LOPEZ COZAR, M CARMEN</t>
  </si>
  <si>
    <t>BELTRAN CABRERA, MARIA DE LA LUZ</t>
  </si>
  <si>
    <t>BETETA ANGUITA, CARMEN</t>
  </si>
  <si>
    <t xml:space="preserve">BLANCHART GARCIA-VERDUGO, JOSE Mª </t>
  </si>
  <si>
    <t>BLANCO MARTIN, FRANCISCA</t>
  </si>
  <si>
    <t>BLASCO AZAUSTRE, MARGARITA</t>
  </si>
  <si>
    <t>BONAL GARCIA, MIGUEL</t>
  </si>
  <si>
    <t>BUENDÍA RAYA, Mª ANGUSTIAS</t>
  </si>
  <si>
    <t>CABALLERO BUENO, INMACULADA</t>
  </si>
  <si>
    <t>CABELLO GONZALEZ, Mª DOLORES</t>
  </si>
  <si>
    <t>CALABRUS CARAZO, JULIA MARIA</t>
  </si>
  <si>
    <t xml:space="preserve">CALVO HERNANDO, JUAN PABLO   </t>
  </si>
  <si>
    <t>CALVO LOPEZ, MARIA ANGUSTIAS</t>
  </si>
  <si>
    <t>CALZAS URRUTIA, ASCENSION</t>
  </si>
  <si>
    <t>CAMBIL MARIN  , ANTONIA</t>
  </si>
  <si>
    <t>CAMPOS RODRÍGUEZ , JOSEFA</t>
  </si>
  <si>
    <t>CAMPOY MARTIN , Mª DEL ROSARIO</t>
  </si>
  <si>
    <t>CANO ROMERO, LUCILA</t>
  </si>
  <si>
    <t>CANTARERO CABALLERO, Mª DOLORES</t>
  </si>
  <si>
    <t>CAÑAVATE FERNANDEZ, MARIA CONCEPCION</t>
  </si>
  <si>
    <t>CAÑAVATE FERNANDEZ, MARIA DEL CARMEN</t>
  </si>
  <si>
    <t>CARMONA MUÑOZ, Mª ISABEL</t>
  </si>
  <si>
    <t>CARRASCOSA ORANTES, FCO JAVIER</t>
  </si>
  <si>
    <t>CASTAÑO CASTAÑO, MARIA DEL CARMEN</t>
  </si>
  <si>
    <t>CASTILLO (DEL) GORDO, RUFO</t>
  </si>
  <si>
    <t>CASTILLO JIMENEZ, MARIA ELOISA</t>
  </si>
  <si>
    <t>CERVANTES BARAZA, ANA MARIA</t>
  </si>
  <si>
    <t>CERVILLA SANCHEZ, ELOISA</t>
  </si>
  <si>
    <t>CHAMORRO MUÑOZ, Mª CARMEN</t>
  </si>
  <si>
    <t>COBO TORRES , AMPARO</t>
  </si>
  <si>
    <t>CODINA VALERO, MANUEL</t>
  </si>
  <si>
    <t>CONDE AYALA, MARIA DOLORES</t>
  </si>
  <si>
    <t>CONSUEGRA NAVARRO, JOSE MARIA</t>
  </si>
  <si>
    <t>CONTRERAS GONZALEZ, JOSE MARIA</t>
  </si>
  <si>
    <t>CORRALES CARRETERO, MANUEL</t>
  </si>
  <si>
    <t xml:space="preserve">CORREDERA TAMAYO, JOSÉ FRANCISCO        </t>
  </si>
  <si>
    <t>CRUZ RODRIGUEZ, CARMEN</t>
  </si>
  <si>
    <t xml:space="preserve">CRUZ RODRIGUEZ, EMILIA </t>
  </si>
  <si>
    <t>DE BALDOMERO NAVARRO, CONCEPCION</t>
  </si>
  <si>
    <t>DE HARO MUÑOZ , ELOY</t>
  </si>
  <si>
    <t>DE LA TORRE PRIETO, FRANCISCA</t>
  </si>
  <si>
    <t>DE MAQUA MONTEYS , Mª DEL PILAR</t>
  </si>
  <si>
    <t>DEL ALAMO FUENTES, INES</t>
  </si>
  <si>
    <t>DEL CASTILLO MARTIN, MARIA FRANCISCA</t>
  </si>
  <si>
    <t xml:space="preserve">DEL RIO JURADO,  Mª DOLORES </t>
  </si>
  <si>
    <t>DELGADO JIMENEZ, ANTONIA</t>
  </si>
  <si>
    <t>DEVOS BRODELET, ELIZABET</t>
  </si>
  <si>
    <t>DIAZ CARRILLO, MARIA JOSEFA</t>
  </si>
  <si>
    <t xml:space="preserve">DIAZ FLORES, JESUS     </t>
  </si>
  <si>
    <t>DIAZ FLORES, INMACULADA</t>
  </si>
  <si>
    <t xml:space="preserve">DÍAZ RODRÍGUEZ, JOSÉ </t>
  </si>
  <si>
    <t>DOMINGO JARAMILLO, ENCARNACION</t>
  </si>
  <si>
    <t>DOMINGUEZ VILLANUEVA, MARIA ISABEL</t>
  </si>
  <si>
    <t>ENRIQUEZ GAMEZ, MATILDE</t>
  </si>
  <si>
    <t>ESCOBAR CAREDENETE, Mª AMOR</t>
  </si>
  <si>
    <t>ESCOBAR GARZON, OLGA</t>
  </si>
  <si>
    <t>ESPIGARES ESPIGARES, MARIA ANGUSTIAS</t>
  </si>
  <si>
    <t>ESPINAR GONZALEZ, Mª ELENA</t>
  </si>
  <si>
    <t>ESPINOSA BEA, MARÍA DE LOS ÁNGELES</t>
  </si>
  <si>
    <t>ESPINOSA MORENO, MARTIRIO ROSARIO</t>
  </si>
  <si>
    <t>ESTEVEZ MARQUEZ, MARIA DE CARMEN</t>
  </si>
  <si>
    <t>FERNÁNDEZ ARENAS, ASUNCIÓN</t>
  </si>
  <si>
    <t>FERNÁNDEZ CABELLO, ANTONIO</t>
  </si>
  <si>
    <t>FERNANDEZ FERNANDEZ, ANTONIO</t>
  </si>
  <si>
    <t xml:space="preserve">FERNANDEZ FERNANDEZ, FRANCISCA </t>
  </si>
  <si>
    <t>FERNANDEZ FERNANDEZ, LUISA</t>
  </si>
  <si>
    <t>FERNANDEZ MARTINEZ, Mª JOSE</t>
  </si>
  <si>
    <t xml:space="preserve">FERNANDEZ MOLINA , MARIA TRINIDAD      </t>
  </si>
  <si>
    <t>FERNANDEZ MONTOYA, MARIA CONCEPCION</t>
  </si>
  <si>
    <t>FERNANDEZ ORTEGA, BIBIANA</t>
  </si>
  <si>
    <t>FERNANDEZ SALIDO, CASILDA</t>
  </si>
  <si>
    <t>FIESTAS MORILLAS , GRACIA</t>
  </si>
  <si>
    <t>FORNIELES PEREZ, HERMINIA</t>
  </si>
  <si>
    <t>FORTIS MARTINEZ, CARMEN</t>
  </si>
  <si>
    <t>GALLEGO LORCA , ANTONIO</t>
  </si>
  <si>
    <t>GALVEZ COBOS, Mª CARMEN</t>
  </si>
  <si>
    <t>GAMEZ MORENO , M ANGELES</t>
  </si>
  <si>
    <t>GARCIA ALONSO, CONCEPCION</t>
  </si>
  <si>
    <t>GARCIA GARCIA, MARIA ANGUSTIAS</t>
  </si>
  <si>
    <t xml:space="preserve">GARCIA GARCIA, Mª ISABEL DEL ROSARIO </t>
  </si>
  <si>
    <t>GARCIA GOMEZ, FRANCISCA</t>
  </si>
  <si>
    <t>GARCIA JIMENEZ, MARIA DEL CARMEN</t>
  </si>
  <si>
    <t>GARCIA LLAMAS , TERESA</t>
  </si>
  <si>
    <t xml:space="preserve">GARCIA MARTIN, ARTURO CARLOS </t>
  </si>
  <si>
    <t>GARCIA MARTINEZ, Mª MERCEDES</t>
  </si>
  <si>
    <t xml:space="preserve">GARCIA MEDINA, MARIA ASUNCIÓN        </t>
  </si>
  <si>
    <t xml:space="preserve">GARCIA ORTEGA, MARIA CONCEPCION </t>
  </si>
  <si>
    <t>GARCÍA PUGA, JOSE</t>
  </si>
  <si>
    <t>GARCIA-ALONSO BERMEJO, MARGARITA</t>
  </si>
  <si>
    <t>GARRIDO MONTORO, FRANCISCO JAVIER</t>
  </si>
  <si>
    <t>GARRIDO SERRANO, ROSA</t>
  </si>
  <si>
    <t>GARZON VALDEARENAS, MARIA LUISA</t>
  </si>
  <si>
    <t>GIL DE AVALLE MONTES, ELÍAS</t>
  </si>
  <si>
    <t>GIL SEGURA, FRANCISCO</t>
  </si>
  <si>
    <t>GILA JUSTICIA, MARIA</t>
  </si>
  <si>
    <t>GINES HERNANDEZ, JOSE</t>
  </si>
  <si>
    <t>GOMEZ ALONSO, ALICIA</t>
  </si>
  <si>
    <t xml:space="preserve">GOMEZ PILARES, JUANA </t>
  </si>
  <si>
    <t>GONZALEZ  RODRIGUEZ, JOSE FELIX</t>
  </si>
  <si>
    <t>GONZALEZ BELTRAN, FRANCISCA</t>
  </si>
  <si>
    <t>GONZALEZ CARRION, FRANCISCA DE PAULA</t>
  </si>
  <si>
    <t>GONZÁLEZ GONZÁLEZ, DIONISIO CARMELO</t>
  </si>
  <si>
    <t>GONZALEZ IÁÑEZ, MARIO</t>
  </si>
  <si>
    <t>GONZALEZ PAJARES, JUAN</t>
  </si>
  <si>
    <t>GONZALEZ REINOSA, MANUEL</t>
  </si>
  <si>
    <t>GUILLEN GONZALEZ -NOVO , EDUARDO</t>
  </si>
  <si>
    <t>GUTIERREZ  MELENDEZ, VICENTA</t>
  </si>
  <si>
    <t>GUZMAN LIRIO, MARIA ANGUSTIAS</t>
  </si>
  <si>
    <t>HERAS JIMENEZ, JOSE FRANCISCO</t>
  </si>
  <si>
    <t xml:space="preserve">HERNANDEZ OGAYAR, PAULA </t>
  </si>
  <si>
    <t>HERVIAS GARRIDO, Mª REMEDIOS</t>
  </si>
  <si>
    <t>HISPAN MOLINA, LAURA</t>
  </si>
  <si>
    <t>HURTADO EUSEBIO, CONCEPCION</t>
  </si>
  <si>
    <t>HURTADO ROMERO, ELISA</t>
  </si>
  <si>
    <t xml:space="preserve">IAÑEZ PEÑA, MIGUEL ANGEL   </t>
  </si>
  <si>
    <t>IZQUIERDO RAMÍREZ, ILUMINADA TRINIDAD</t>
  </si>
  <si>
    <t>IZQUIERDO RIVAS, LUIS CARLOS</t>
  </si>
  <si>
    <t>JADRAQUE GARCIA, PEDRO</t>
  </si>
  <si>
    <t xml:space="preserve">JEREZ OSORIO, FRANCISCA </t>
  </si>
  <si>
    <t>JEREZ SALCEDO, MARIA MELQUIAEZ</t>
  </si>
  <si>
    <t>JIMENEZ AGUILAR, ANTONIO</t>
  </si>
  <si>
    <t>JIMENEZ FERNANDEZ, MARIA TERESA</t>
  </si>
  <si>
    <t>JIMENEZ GARCIA, ANA</t>
  </si>
  <si>
    <t>JIMENEZ NAVARRO, CLARA</t>
  </si>
  <si>
    <t>JIMENEZ VELA, ROSARIO</t>
  </si>
  <si>
    <t>JURADO GAMO , Mª CONSOLACION</t>
  </si>
  <si>
    <t>JURADO LÓPEZ, JOSEFA Mª</t>
  </si>
  <si>
    <t>LARA BURGOS,  LUCIA PATRICIA</t>
  </si>
  <si>
    <t>LEON CRUZ, Mª JOSEFA</t>
  </si>
  <si>
    <t>LIÑAN MEDINA, JOSE</t>
  </si>
  <si>
    <t>LOMBARDO SANCHEZ, DOLORES</t>
  </si>
  <si>
    <t>LOPEZ ARBOLEDAS, Mª DEL CARMEN</t>
  </si>
  <si>
    <t>LOPEZ BARRERA, GABRIEL</t>
  </si>
  <si>
    <t xml:space="preserve">LÓPEZ BUJALANCE, LUCIA </t>
  </si>
  <si>
    <t>LOPEZ CORPAS, FRANCISCO</t>
  </si>
  <si>
    <t>LOPEZ GARCIA, ANTONIO</t>
  </si>
  <si>
    <t>LOPEZ GARCIA, ENCARNACION</t>
  </si>
  <si>
    <t>LOPEZ HIDALGO, CONRADA</t>
  </si>
  <si>
    <t>LOPEZ PEREGRIN, CARIDAD MARIA</t>
  </si>
  <si>
    <t>LOPEZ ROSAS, ANA MARIA</t>
  </si>
  <si>
    <t>LORCA MESA, MARIA DEL CARMEN</t>
  </si>
  <si>
    <t>LORENZO ROJAS, JOSE FRANCISCO</t>
  </si>
  <si>
    <t>LUNA POLO, SAGRARIO</t>
  </si>
  <si>
    <t>MALDONADO MARTINEZ, JOSEFINA</t>
  </si>
  <si>
    <t>MALDONADO VALENZUELA, FRANCISCA MARIA</t>
  </si>
  <si>
    <t>MANSILLA GUARDIA, PILAR ESTRELLA</t>
  </si>
  <si>
    <t>MAÑAS VILCHEZ, ROSA MARIA</t>
  </si>
  <si>
    <t>MARIN FANLO, MARTA</t>
  </si>
  <si>
    <t>MARTIN AGUILAR, MARIA ISABEL</t>
  </si>
  <si>
    <t>MARTIN BUENO, MARIA DEL ROSARIO</t>
  </si>
  <si>
    <t>MARTIN CHIROSA, MARIA TERESA</t>
  </si>
  <si>
    <t>MARTÍN PEREGRINA, FRANCISCA</t>
  </si>
  <si>
    <t>MARTIN ROMERA, Mª ANGELES</t>
  </si>
  <si>
    <t>MARTIN RUIZ , FERNANDO</t>
  </si>
  <si>
    <t>MARTIN SANCHEZ , Mª TERESA</t>
  </si>
  <si>
    <t>MARTIN-ENTRENA AREVALO, MAGDALENA</t>
  </si>
  <si>
    <t>MARTINEZ  LOZANO, INMACULADA</t>
  </si>
  <si>
    <t>MARTINEZ ALBARRACIN, JUAN MIGUEL</t>
  </si>
  <si>
    <t>MARTINEZ CABELLO, ALEJANDRO</t>
  </si>
  <si>
    <t>MARTINEZ CORBELLA, MARIA AZUCENA</t>
  </si>
  <si>
    <t>MARTINEZ CUESTA, CATALINA</t>
  </si>
  <si>
    <t>MARTINEZ FERRIZ, MARIA JOSEFA</t>
  </si>
  <si>
    <t xml:space="preserve">MARTINEZ MARTINEZ, Mª DOLORES </t>
  </si>
  <si>
    <t>MARTÍNEZ RAYA, MARÍA HORTENSIA</t>
  </si>
  <si>
    <t>MARTINEZ TIRADO, JOSEFA</t>
  </si>
  <si>
    <t>MARTOS DIAZ, CONCEPCION</t>
  </si>
  <si>
    <t xml:space="preserve">MARTOS DIAZ, SILVIA </t>
  </si>
  <si>
    <t xml:space="preserve">MATEOS DELGADO, MERCEDES </t>
  </si>
  <si>
    <t xml:space="preserve">MELGUIZO RODRIGUEZ, MANUELA </t>
  </si>
  <si>
    <t>MELGUIZO RODRIGUEZ, M CARMEN</t>
  </si>
  <si>
    <t>MELLADO SUAREZ, FRANCISCO</t>
  </si>
  <si>
    <t>MENDEZ JARAMILLO, RAFAELA</t>
  </si>
  <si>
    <t>MESA GONZALEZ, DOLORES</t>
  </si>
  <si>
    <t>MESA MARTIN, MARIA ISABEL</t>
  </si>
  <si>
    <t>MOLINA CASTRO, LUIS MIGUEL</t>
  </si>
  <si>
    <t xml:space="preserve">MOLINA MARTÍNEZ, Mª ISABEL </t>
  </si>
  <si>
    <t>MOLINA PEREA, ANA</t>
  </si>
  <si>
    <t>MONTERO ORTIZ, MARIA TERESA</t>
  </si>
  <si>
    <t>MORA DE SAAVEDRA, ROSARIO</t>
  </si>
  <si>
    <t>MORALES BRAOJOS, MARIA DEL MAR</t>
  </si>
  <si>
    <t>MORALES GONZALEZ, VALERIANO</t>
  </si>
  <si>
    <t>MORENO MORENO, JOSE LUIS</t>
  </si>
  <si>
    <t>MORENTE MARTIN , Mª ANGELES</t>
  </si>
  <si>
    <t xml:space="preserve">MORÓN ALCALDE, Mª LEONOR </t>
  </si>
  <si>
    <t>MOYA AYAN , MANUEL</t>
  </si>
  <si>
    <t>MOYANO REDONDO , JULIO</t>
  </si>
  <si>
    <t>MUÑOZ ROPERO , JENARO</t>
  </si>
  <si>
    <t>MURILLO, HELMER</t>
  </si>
  <si>
    <t>MUROS JIMENEZ, ENCARNACION</t>
  </si>
  <si>
    <t>NAVARRO DE LA CASA, MARIA</t>
  </si>
  <si>
    <t xml:space="preserve">NAVARRO NAVARRO, ANA MARIA </t>
  </si>
  <si>
    <t xml:space="preserve">NAVAS HERRERA,  LAURA    </t>
  </si>
  <si>
    <t>OBREGON ZAMORANO, JUAN MANUEL</t>
  </si>
  <si>
    <t xml:space="preserve">OCON MOLINA, MARIA ROSARIO          </t>
  </si>
  <si>
    <t>OLIVARES RUIZ, MARÍA</t>
  </si>
  <si>
    <t>OLIVER BARRIONUEVO, MERCEDES</t>
  </si>
  <si>
    <t>ORTEGA MARTIN, ENCARNACION</t>
  </si>
  <si>
    <t>OSUNA ORTEGA, CARMEN</t>
  </si>
  <si>
    <t>OSUNA ORTEGA , ENCARNACION</t>
  </si>
  <si>
    <t>PADILLA BENITEZ, Mª  PRESENTACION</t>
  </si>
  <si>
    <t>PADILLA GARZON, CARMEN</t>
  </si>
  <si>
    <t>PAEZ DUEÑAS, MARIA PURIFICACION</t>
  </si>
  <si>
    <t>PANIZA QUIROS, MARIA ANGELES</t>
  </si>
  <si>
    <t>PAREJO MUÑOZ, CARMEN</t>
  </si>
  <si>
    <t>PAZ MORENO, JULIA</t>
  </si>
  <si>
    <t>PEDRAZA MURIEL, Mª TERESA</t>
  </si>
  <si>
    <t>PERALES RENTERO, CATALINA</t>
  </si>
  <si>
    <t>PEREA CARPIO, MARIA DOLORES</t>
  </si>
  <si>
    <t>PEREZ ARMENGOL, CRISTINA</t>
  </si>
  <si>
    <t>PEREZ BLANCO, JOSE JOAQUIN</t>
  </si>
  <si>
    <t>PEREZ CAÑAVATE , SALVADOR</t>
  </si>
  <si>
    <t>PEREZ CASENAVE, LORENZO</t>
  </si>
  <si>
    <t>PEREZ CUADROS, FRANCISCO JAVIER</t>
  </si>
  <si>
    <t>PÉREZ MALDONADO, ESTEBAN</t>
  </si>
  <si>
    <t>PEREZ PEREZ, JOSE</t>
  </si>
  <si>
    <t xml:space="preserve">PEREZ SANCHEZ , ANTONIA </t>
  </si>
  <si>
    <t>PEREZ TITOS, MARIA ELISA</t>
  </si>
  <si>
    <t>PLACENCIA FLORES, DULCE MARIA</t>
  </si>
  <si>
    <t>POYATOS SANCHEZ, JOSE ANTONIO</t>
  </si>
  <si>
    <t xml:space="preserve">RAGA TORREBLANCA, MILAGROS DOLORES RAQUEL </t>
  </si>
  <si>
    <t>RAMIREZ GARCIA, JOSE ANTONIO</t>
  </si>
  <si>
    <t xml:space="preserve">RAMIREZ RAMIREZ, ALEJANDRO </t>
  </si>
  <si>
    <t>RAMOS RIVAS, ALVARO</t>
  </si>
  <si>
    <t xml:space="preserve">RAMOS RIVAS, VICTOR </t>
  </si>
  <si>
    <t>RANZ CHACOBO, ANGEL</t>
  </si>
  <si>
    <t>RAYA PUGA , MARIA DEL CARMEN</t>
  </si>
  <si>
    <t>RECHE SILVA, RAFAEL</t>
  </si>
  <si>
    <t>REYES SUAREZ, PEDRO</t>
  </si>
  <si>
    <t>RIOS COLLANTE, MERCEDES</t>
  </si>
  <si>
    <t>RIVAS RODRIGUEZ, EMILIA</t>
  </si>
  <si>
    <t>ROBLES BEJAR, MARIA ISABEL</t>
  </si>
  <si>
    <t>RODRIGUEZ  MELGAREJO, CONCEPCION</t>
  </si>
  <si>
    <t xml:space="preserve">RODRIGUEZ ELVIRA, MANUEL </t>
  </si>
  <si>
    <t>RODRÍGUEZ FRANCO, PURIFICACIÓN</t>
  </si>
  <si>
    <t>RODRIGUEZ GALAN, INES CARMEN</t>
  </si>
  <si>
    <t>RODRIGUEZ GUTIERREZ, FRANCISCO ANTONIO</t>
  </si>
  <si>
    <t>RODRIGUEZ MARTINEZ, ROSA MARIA</t>
  </si>
  <si>
    <t>RODRIGUEZ MARTINEZ, MANUEL</t>
  </si>
  <si>
    <t>RODRIGUEZ ORTIZ, IRENE ANGUSTIA</t>
  </si>
  <si>
    <t>RODRIGUEZ PUERTA, JESUS MIGUEL</t>
  </si>
  <si>
    <t>RODRIGUEZ RODRIGUEZ, FRANCISCO JAVIER</t>
  </si>
  <si>
    <t>RODRÍGUEZ SÁNCHEZ, JOSÉ</t>
  </si>
  <si>
    <t>ROJAS MESA, FRANCISCO EMILIO</t>
  </si>
  <si>
    <t>ROLDAN LEON, MARIA TRINIDAD</t>
  </si>
  <si>
    <t>ROMERO CALLE, MARIA DEL CARMEN</t>
  </si>
  <si>
    <t>ROMERO FUNES , ANA MARIA</t>
  </si>
  <si>
    <t>ROMERO GONZALEZ, CONSOLACION</t>
  </si>
  <si>
    <t>ROSAS MARIN , AMALIA</t>
  </si>
  <si>
    <t>ROZUA LARIOS, MARIA TERESA</t>
  </si>
  <si>
    <t>RUBIÑO  RUIZ, ANTONIO JOSÉ</t>
  </si>
  <si>
    <t>RUBIO GOMEZ, MARIANO</t>
  </si>
  <si>
    <t>RUBIO PRATS, Mª ANGELES</t>
  </si>
  <si>
    <t>RUIZ MOLES , ANGEL JESUS</t>
  </si>
  <si>
    <t>RUIZ RODRIGUEZ, JOSEFA</t>
  </si>
  <si>
    <t>RUIZ SANCHEZ, Mª CARMEN</t>
  </si>
  <si>
    <t>RUIZ SANCHEZ, Mª DOLORES</t>
  </si>
  <si>
    <t>SAMOS GAMO, ROSARIO</t>
  </si>
  <si>
    <t>SANCHEZ AVILA, MARIA ANTONIA</t>
  </si>
  <si>
    <t>SÁNCHEZ BALDERAS, ROSARIO</t>
  </si>
  <si>
    <t xml:space="preserve">SANCHEZ CARMONA, MARIA DOLORES </t>
  </si>
  <si>
    <t>SANCHEZ DOMINGUEZ, CELIA María</t>
  </si>
  <si>
    <t>SANCHEZ GOMEZ, PASCUAL</t>
  </si>
  <si>
    <t>SANCHEZ GONZALEZ, ANA MARIA</t>
  </si>
  <si>
    <t>SANCHEZ HORTAL, JOSE Mª</t>
  </si>
  <si>
    <t xml:space="preserve">SANCHEZ LUBIAN, ASCENCION </t>
  </si>
  <si>
    <t>SANCHEZ MORALES, Mª CONCEPCION</t>
  </si>
  <si>
    <t>SANCHEZ PERALTA, GLORIA PURIFICACION</t>
  </si>
  <si>
    <t>SÁNCHEZ PERALTA, Mª  PILAR</t>
  </si>
  <si>
    <t>SANCHEZ PEREZ, Mª JESUS</t>
  </si>
  <si>
    <t>SANCHEZ RAMIREZ , PIEDAD VICTORIA</t>
  </si>
  <si>
    <t>SANCHEZ RODRIGUEZ, ANA-BRIGIDA</t>
  </si>
  <si>
    <t>SANCHEZ SIERRA, MARIA LUISA</t>
  </si>
  <si>
    <t>SANCHEZ SUAREZ, MARIA AGUEDA</t>
  </si>
  <si>
    <t>SANCHEZ TEJERO, Mª TERESA</t>
  </si>
  <si>
    <t>SANCHEZ VALERO, ISABEL</t>
  </si>
  <si>
    <t xml:space="preserve">SANTAELLA LUPIAÑEZ, JOSEFA    </t>
  </si>
  <si>
    <t>SANTIAGO ALVAREZ , JOSE MARIA</t>
  </si>
  <si>
    <t xml:space="preserve">SANTIAGO LOPEZ , ISABEL       </t>
  </si>
  <si>
    <t>SEGURA CAMACHO, CANDIDO</t>
  </si>
  <si>
    <t>SEGURA HERRERA, LEONARDO</t>
  </si>
  <si>
    <t>SERRANO DE LA PRESILLA, INMACULADA</t>
  </si>
  <si>
    <t>SERRANO GARCÍA, MARIA LUISA</t>
  </si>
  <si>
    <t>SORIANO JEREZ, CARMEN</t>
  </si>
  <si>
    <t>SOTO BARRAGAN, DOLORES</t>
  </si>
  <si>
    <t>SOTO LOPEZ, MARIA JOSE</t>
  </si>
  <si>
    <t>TEJERA MARTIN, MARIA</t>
  </si>
  <si>
    <t>TELLEZ SANCHEZ, SEBASTIAN</t>
  </si>
  <si>
    <t>TERCERO PADIAL, RAFAEL</t>
  </si>
  <si>
    <t>TOMAS SALAZAR, JUAN JESUS</t>
  </si>
  <si>
    <t>TORICES VILCHEZ, ANTONIO</t>
  </si>
  <si>
    <t>TORRES JIMENEZ , MANUELA</t>
  </si>
  <si>
    <t>UBEDA CONEJERO, Mª CARMEN</t>
  </si>
  <si>
    <t>VALDEARENAS CASTRO , MANUEL</t>
  </si>
  <si>
    <t>VALENZUELA VALENZUELA, ANA</t>
  </si>
  <si>
    <t>VALVERDE GARCÍA  , JUAN</t>
  </si>
  <si>
    <t>VARGAS RODRIGUEZ, MARIA VICTORIA</t>
  </si>
  <si>
    <t>VAZQUEZ QUERO , ASCENSION</t>
  </si>
  <si>
    <t>VELA DE LA TORRE, MANUEL</t>
  </si>
  <si>
    <t>VELASCO GOMEZ, ENCARNACION</t>
  </si>
  <si>
    <t>VELAZQUEZ ROPERO , Mª CARMEN</t>
  </si>
  <si>
    <t>VICIANA GAVILAN, FRANCISCO</t>
  </si>
  <si>
    <t>VICO VILCHEZ, FRANCISCA</t>
  </si>
  <si>
    <t xml:space="preserve">VIGIL LOPEZ, ANTONIO  </t>
  </si>
  <si>
    <t>VILCHEZ GALLARDO, FABIOLA</t>
  </si>
  <si>
    <t xml:space="preserve">VILLEN MOLINA, EVA MARIA    </t>
  </si>
  <si>
    <t>VILLOSLADA ARELLANO, JUAN JOSÉ</t>
  </si>
  <si>
    <t>VIVES MONTERO, MARCELA</t>
  </si>
  <si>
    <t>VIVES MONTERO, JOSE</t>
  </si>
  <si>
    <t>VIVES MONTERO, Mª INMACULADA</t>
  </si>
  <si>
    <t xml:space="preserve">VIVES MONTERO, MARI CARMEN    </t>
  </si>
  <si>
    <t>WALDHERR, RUTH</t>
  </si>
  <si>
    <t xml:space="preserve">ZAMBUDIO PERIAGO, RAMON </t>
  </si>
  <si>
    <t>ZAMBUDIO PERIAGO, MARIA</t>
  </si>
  <si>
    <t>ZAMBUDIO PERIAGO, PILAR</t>
  </si>
  <si>
    <t>ZARCO RUIZ, FERNANDA</t>
  </si>
  <si>
    <t>ZARCO RUIZ, ISABEL</t>
  </si>
  <si>
    <t>ZURITA JIMENEZ, MANUEL</t>
  </si>
  <si>
    <t>matricula</t>
  </si>
  <si>
    <t>Matriculado</t>
  </si>
  <si>
    <t>MARTIN PEÑA, VICTORIANO</t>
  </si>
  <si>
    <t>RUIZ ORTIZ, ANA MARIA</t>
  </si>
  <si>
    <t>RUIZ SANCHEZ, MARIA MERCEDES</t>
  </si>
  <si>
    <t>RODRIGUEZ GALIANO, PILAR</t>
  </si>
  <si>
    <t>º</t>
  </si>
  <si>
    <t>ARBOL JIMENEZ, ENRIQUE</t>
  </si>
  <si>
    <t>ROMAN ENRIQUEZ, DOLORES</t>
  </si>
  <si>
    <t>YUDES MARTIN, MARIA LUISA</t>
  </si>
  <si>
    <t>SORIA LERMA, SEBASTIÁN</t>
  </si>
  <si>
    <t>VEGA RAMIREZ, Mª CARMEN</t>
  </si>
  <si>
    <t>RUIZ MARIN, MATILDE</t>
  </si>
  <si>
    <t>RODRIGUEZ AZNARTE, ANA CARMEN</t>
  </si>
  <si>
    <t>SANCHEZ GARCIA, ANTONIO</t>
  </si>
  <si>
    <t>ZAFRA ALVAREZ, MARIA DEL CARMEN</t>
  </si>
  <si>
    <t>RUIZ RODRIGUEZ, JOSE MARIA</t>
  </si>
  <si>
    <t>BOLIVAR PEREZ , MARGARITA</t>
  </si>
  <si>
    <t>LOPEZ VALDIVIESO, ISABEL</t>
  </si>
  <si>
    <t>BOLIVAR PEREZ, LUCIA CASILDA</t>
  </si>
  <si>
    <t xml:space="preserve">HERNANDEZ VALLECILLO, MARIA TERESA </t>
  </si>
  <si>
    <t>SAEZ CAMACHO, JUAN LUIS</t>
  </si>
  <si>
    <t>NAVARRO MEDINA, PEDRO</t>
  </si>
  <si>
    <t>CASADO JIMÉNEZ, DOLORES</t>
  </si>
  <si>
    <t>HINOJOSA LIZANA, FRANCISCA</t>
  </si>
  <si>
    <t>IGLESIAS BENITEZ, FRANCISCA</t>
  </si>
  <si>
    <t>NIEVES AGUILAR , MIGUEL</t>
  </si>
  <si>
    <t>CARRILLO CAMACHO, JESUS</t>
  </si>
  <si>
    <t xml:space="preserve">BUSCARONS GUILLUMET, ROSER </t>
  </si>
  <si>
    <t>MORENO SANCHEZ , JUAN</t>
  </si>
  <si>
    <t>JIMÉNEZ RAMOS, JUAN</t>
  </si>
  <si>
    <t>ARCOS MARTINEZ, MARIA ISABEL</t>
  </si>
  <si>
    <t>MUÑOZ EXTRAVIZ, MARIA FILOMENA</t>
  </si>
  <si>
    <t>AGUILAR RAMIREZ, JOSE</t>
  </si>
  <si>
    <t>VEGA CRUZ, AMPARO MERCEDES</t>
  </si>
  <si>
    <t>CUESTA DE LA ROSA, MARÍA ROSA</t>
  </si>
  <si>
    <t>LOPEZ PUERTAS , ANTONIO</t>
  </si>
  <si>
    <t>MONTOYA RAMÍREZ, ROSALÍA</t>
  </si>
  <si>
    <t>MUÑOZ GARZÓN, Mª CARMEN</t>
  </si>
  <si>
    <t xml:space="preserve">VENTURA JIMÉNEZ, ENCARNACIÓN </t>
  </si>
  <si>
    <t xml:space="preserve">ORTEGA SERRANO , ANA </t>
  </si>
  <si>
    <t>RAMOS OLVERA, M. CARMEN</t>
  </si>
  <si>
    <t>VILLATORO JIMENEZ, VICENTE</t>
  </si>
  <si>
    <t>LAFUENTE LORCA, JUSTA</t>
  </si>
  <si>
    <t>RUIZ GONZALEZ, MARIA DOLORES</t>
  </si>
  <si>
    <t>GARCIA FELICES , FRANCISCA</t>
  </si>
  <si>
    <t>VALENZUELA MUÑOZ, RAFAELA</t>
  </si>
  <si>
    <t>PEREZ MARTIN , MARIA JESUS</t>
  </si>
  <si>
    <t>PEREZ ALVAREZ, CONCEPCION</t>
  </si>
  <si>
    <t>JEREZ SALCEDO, MANUEL FRANCISCO</t>
  </si>
  <si>
    <t>ARROYO ESPINAR, MARIA DE LOS ANGELES</t>
  </si>
  <si>
    <t xml:space="preserve">RODRIGUEZ LOZANO, ELENA  </t>
  </si>
  <si>
    <t>FERNANDEZ FERNANDEZ , MARIA GLORIA</t>
  </si>
  <si>
    <t>BOLAÑOS MUIÑO, CARMEN</t>
  </si>
  <si>
    <t>MARTINEZ GIRON, ROSARIO</t>
  </si>
  <si>
    <t>JIMENEZ CARDELLES, ALICIA</t>
  </si>
  <si>
    <t xml:space="preserve">GARCIA CRUZ, VICTORIA </t>
  </si>
  <si>
    <t>DE BUSTOS PEREZ DE SALCEDO, MARIA TERESA</t>
  </si>
  <si>
    <t>ORTIZ CANO,  FRANCISCO</t>
  </si>
  <si>
    <t>GARCIA MARIN , ELENA</t>
  </si>
  <si>
    <t>ACOSTA ROBLES, PABLO</t>
  </si>
  <si>
    <t xml:space="preserve">GONZALEZ RODRIGUEZ, MARIA DOLORES </t>
  </si>
  <si>
    <t>ALVAREZ MARTINEZ,,  YOLANDA</t>
  </si>
  <si>
    <t>GONZÁLEZ JÍMENEZ,  BLAS</t>
  </si>
  <si>
    <t xml:space="preserve">FERNÁNDEZ DE LA REGUERA MUÑOZ, JUAN JESÚS </t>
  </si>
  <si>
    <t xml:space="preserve">BLAZQUEZ MALO,  MARÍA DEL MAR </t>
  </si>
  <si>
    <t xml:space="preserve">PEÑA CALVO, JOSE LUIS       </t>
  </si>
  <si>
    <t>ARCOS MARTINEZ, ROSARIO</t>
  </si>
  <si>
    <t>VALLECILLO SEGOVIA, INMACULADA B</t>
  </si>
  <si>
    <t>LAZARO MONTOYA, CARMEN</t>
  </si>
  <si>
    <t>CARAZO MARIN, ANGEL FRANCISCO</t>
  </si>
  <si>
    <t>CALDERON RODRIGUEZ, MARIA ANGELES</t>
  </si>
  <si>
    <t>PEREZ RUIZ , ROSA MARIA</t>
  </si>
  <si>
    <t>GARCIA GUILLEN, CONCEPCIÓN</t>
  </si>
  <si>
    <t xml:space="preserve">BERMEJO SANCHEZ, JUAN JOSE  </t>
  </si>
  <si>
    <t>VALLECILLOS SEGOVIA, EUGENIA</t>
  </si>
  <si>
    <t xml:space="preserve">JIMENEZ MARTINEZ, MANUELA </t>
  </si>
  <si>
    <t xml:space="preserve">CASTRO ESPINAR, MARIA JOSE </t>
  </si>
  <si>
    <t xml:space="preserve">MEGIAS LOPEZ, ANTONIA </t>
  </si>
  <si>
    <t>MORALES PASADAS, CRISTOBAL JOSE</t>
  </si>
  <si>
    <t>MARTIN PEREGRINA,  INMACULADA</t>
  </si>
  <si>
    <t>MARTIN RUEDA,  MARIA ADELA</t>
  </si>
  <si>
    <t xml:space="preserve">IBAÑEZ AUSINA, MARIA AMPARO </t>
  </si>
  <si>
    <t xml:space="preserve">FEIXAS FERRO, JUAN FRANCISCO  </t>
  </si>
  <si>
    <t>LOPEZ CUEVAS, JUAN ANTONIO</t>
  </si>
  <si>
    <t>ÁLVAREZ MORILLAS, ÁNGELES</t>
  </si>
  <si>
    <t>MORENO MARTINEZ, ROSA MARÍA</t>
  </si>
  <si>
    <t>MONTORE MONTORE, MARIA DEL PILAR</t>
  </si>
  <si>
    <t>DE LA TORRE GALLEGOS, RAFAEL</t>
  </si>
  <si>
    <t>RAMOS RIVAS, JUAN LUIS</t>
  </si>
  <si>
    <t>PEREZ SANCHEZ, MARIA PILAR</t>
  </si>
  <si>
    <t>PERALTA MIRON, ANA MARIA</t>
  </si>
  <si>
    <t>TORRICO RUIZ, VICENTA</t>
  </si>
  <si>
    <t xml:space="preserve">GONZALEZ MAROTO, ANUNCIACION    </t>
  </si>
  <si>
    <t>VALDIVIA ÁLVAREZ, CONCEPCIÓN</t>
  </si>
  <si>
    <t>GONZALEZ MAROTO, MARIA EVA</t>
  </si>
  <si>
    <t>CIFUENTES SERRANO, ANA</t>
  </si>
  <si>
    <t>ORTIZ ALBARÍN, EDUARDO</t>
  </si>
  <si>
    <t>SÁNCHEZ PADIAL, GENOVEVA</t>
  </si>
  <si>
    <t>MENDOZA ORTIZ, ANA MARIA</t>
  </si>
  <si>
    <t>ARCO GARCÍA, MARÍA DEL CARMEN</t>
  </si>
  <si>
    <t>PRADOS MARTINEZ, SERGIO</t>
  </si>
  <si>
    <t>RUIZ DE ALMIRON SAEZ, MARIA JOSE</t>
  </si>
  <si>
    <t>LOPEZ BARBERO, ANTONIA</t>
  </si>
  <si>
    <t>LOPEZ ARIZA, FRANCISCO JOSÉ</t>
  </si>
  <si>
    <t xml:space="preserve">YESTE MAGDALENO, INMACULADA </t>
  </si>
  <si>
    <t xml:space="preserve">GALINDO GARCÍA, JOSÉ ANTONIO  </t>
  </si>
  <si>
    <t>DIAZ GARCIA, JUAN ANTONIO</t>
  </si>
  <si>
    <t>FERNANDEZ GUERRERO, FRANCISCO JAVIER</t>
  </si>
  <si>
    <t>RUIZ IBAR, ROSENDO</t>
  </si>
  <si>
    <t>GARCIA RODRIGUEZ , JOSE</t>
  </si>
  <si>
    <t xml:space="preserve">DE LA PUENTE PEREZ, CARMEN MARGARITA    </t>
  </si>
  <si>
    <t>RODRIGUEZ GARCIA, ENCARNACION</t>
  </si>
  <si>
    <t xml:space="preserve">MARTINEZ BLANCO, MARIA LUISA </t>
  </si>
  <si>
    <t>LOPEZ DE LUZ , ROSA MARIA</t>
  </si>
  <si>
    <t xml:space="preserve">POYATOS GORDILLO, MERCEDES </t>
  </si>
  <si>
    <t>MONTENEGRO NOCEDA, JESUS MARIA</t>
  </si>
  <si>
    <t>PALENZUELA GOMEZ, JULIA MARIA</t>
  </si>
  <si>
    <t>MORALLON FUENTES, M. DEL CARMEN</t>
  </si>
  <si>
    <t>CABRERA LOPEZ, FELISA</t>
  </si>
  <si>
    <t>SANCHEZ GONZALEZ, ANTONIO</t>
  </si>
  <si>
    <t>TORICES GONZALEZ, SOLEDAD</t>
  </si>
  <si>
    <t>MUÑOZ DE DIOS, MARIA VICTORIA</t>
  </si>
  <si>
    <t>MORÓN GALLARDO, TERESA</t>
  </si>
  <si>
    <t>ARÉVALO LOPEZ, TEODORA</t>
  </si>
  <si>
    <t>SANCHEZ CÁRDENAS, DOLORES</t>
  </si>
  <si>
    <t xml:space="preserve">VILLAFRANCA GARCIA, MERCEDES </t>
  </si>
  <si>
    <t>GRANERO EXPÓSITO, ESPERANZA</t>
  </si>
  <si>
    <t xml:space="preserve">LEIVA KEIVA, SAGRARIO </t>
  </si>
  <si>
    <t>GOMEZ CAMPILLO, ACACIO</t>
  </si>
  <si>
    <t>POZA PEÑA, MARI CRUZ</t>
  </si>
  <si>
    <t>VALDIVIESO COMESAÑA, AFRICA</t>
  </si>
  <si>
    <t>VILLANUEVA TAMAYO, ENCARNACION</t>
  </si>
  <si>
    <t>MARTIN TORRES, JESUS</t>
  </si>
  <si>
    <t>PEREGRINA PEREGRINA, JESÚS ANTONIO</t>
  </si>
  <si>
    <t xml:space="preserve">LINARES VAZQUEZ, CECILIO  </t>
  </si>
  <si>
    <t>MARTIN GONZALEZ, MARIA SOL</t>
  </si>
  <si>
    <t xml:space="preserve">MORALES DUARTE, MARIA DOLORES   </t>
  </si>
  <si>
    <t xml:space="preserve">MUÑOZ FUENTES, MARIA FRANCISCA </t>
  </si>
  <si>
    <t>BARRIO MOLINA, ROSALIA</t>
  </si>
  <si>
    <t xml:space="preserve">LOPEZ-COZAR AQUINO, MANUEL  </t>
  </si>
  <si>
    <t>MACHADO CALVO, ROSA MARIA</t>
  </si>
  <si>
    <t>SEGURA FERRER, JUAN MANUEL</t>
  </si>
  <si>
    <t>PEDREGOSA RUBIO, ISABEL</t>
  </si>
  <si>
    <t xml:space="preserve">GUERRERO SOLANO, NIEVES   </t>
  </si>
  <si>
    <t>GUERRERO JIMÉNEZ, AMPARO</t>
  </si>
  <si>
    <t>FERNANDEZ MOLINA, AURORA</t>
  </si>
  <si>
    <t>JIMENEZ RODRIGUEZ, ANTONIO JOSE</t>
  </si>
  <si>
    <t>LAPAZ ORTIZ, Mª DEL MAR</t>
  </si>
  <si>
    <t>MOLINA SÁNCHEZ, Mª TERESA</t>
  </si>
  <si>
    <t>MENDOZA TERON, LUIS</t>
  </si>
  <si>
    <t>JIMÉNEZ PUERTAS, ALMUDENA</t>
  </si>
  <si>
    <t>ANTÚNEZ GÁLVEZ, FERNANDO</t>
  </si>
  <si>
    <t>MONTERO LOPEZ, Mª CARMEN</t>
  </si>
  <si>
    <t>ARIZA GAZQUEZ, ANA MARIA</t>
  </si>
  <si>
    <t>SALAS GARCÍA, TOÑI</t>
  </si>
  <si>
    <t>TORRES JIMENEZ, JUAN MANUEL</t>
  </si>
  <si>
    <t>CADIAR ALBA MARIO, ANA MARÍA</t>
  </si>
  <si>
    <t xml:space="preserve">MORENO TERRIBAS, </t>
  </si>
  <si>
    <t>ARANDA BARRERA, JUAN</t>
  </si>
  <si>
    <t>IMPORTE</t>
  </si>
  <si>
    <t>NÚMERO</t>
  </si>
  <si>
    <t>ACREEDOR</t>
  </si>
  <si>
    <t>BASE</t>
  </si>
  <si>
    <t>IVA</t>
  </si>
  <si>
    <t>IRPF</t>
  </si>
  <si>
    <t>TOTAL</t>
  </si>
  <si>
    <t>P</t>
  </si>
  <si>
    <t>OBSER.</t>
  </si>
  <si>
    <t>PAGO</t>
  </si>
  <si>
    <t>DATOS FACTURA</t>
  </si>
  <si>
    <t>ORDEN</t>
  </si>
  <si>
    <t>ACTIVIDAD</t>
  </si>
  <si>
    <t>COD.</t>
  </si>
  <si>
    <t>DENOMINACIÓN</t>
  </si>
  <si>
    <t>NO SOCIO</t>
  </si>
  <si>
    <t>OLLA SAN ANTÓN</t>
  </si>
  <si>
    <t>ACTIVO</t>
  </si>
  <si>
    <t>NO ESCRIBIR</t>
  </si>
  <si>
    <t>BOLIVAR LOPEZ, ROSARIO</t>
  </si>
  <si>
    <t>GAMEZ MORENO, CARMEN</t>
  </si>
  <si>
    <t>MOLINA UCEDA, EMILIO</t>
  </si>
  <si>
    <t>IZQUIERDO ONTIVEROS, Mª CARMEN</t>
  </si>
  <si>
    <t>HERNANDEZ PRIETO, JUAN</t>
  </si>
  <si>
    <t>VALLECILLOS GARCIA, CARMEN</t>
  </si>
  <si>
    <t>CONTRERAS IBAÑEZ, CARMEN</t>
  </si>
  <si>
    <t>ARBOL FERNANDEZ, ROSA MARIA</t>
  </si>
  <si>
    <t>GARRIDO PEREZ, JOSÉ</t>
  </si>
  <si>
    <t>EXPOSICIÓN CATEDRAL</t>
  </si>
  <si>
    <t>ABAD ORTEGA, MARIA DEL MARº</t>
  </si>
  <si>
    <t>SANCHO LLEDÓ, PEPA</t>
  </si>
  <si>
    <t>VALDEARENAS, MANUEL</t>
  </si>
  <si>
    <t>A/2900</t>
  </si>
  <si>
    <t>MURILLO, FLOR</t>
  </si>
  <si>
    <t>ROLDAN, MARIA</t>
  </si>
  <si>
    <t>ESPINOSA FREIRE, ADELINA</t>
  </si>
  <si>
    <t>GONZALEZ CASTELLON, RITA BELEN</t>
  </si>
  <si>
    <t>PEREZ SERRANO, FRANCISCA</t>
  </si>
  <si>
    <t>BELTRAN CABRERA, MARILUZ</t>
  </si>
  <si>
    <t>MATEOS DELGADO,MERCEDES</t>
  </si>
  <si>
    <t>GALLEGO LORCA, ANTONIO</t>
  </si>
  <si>
    <t>PREZ BLANCO, JOSE JOAQUIN</t>
  </si>
  <si>
    <t>MORALES GONZALEZ, ISABEL</t>
  </si>
  <si>
    <t xml:space="preserve">JIMENEZ RAMOS, JUAN </t>
  </si>
  <si>
    <t>MONTORO GARCIA, SOFIA</t>
  </si>
  <si>
    <t>CAÑAVATE FERNANDEZ, INMA</t>
  </si>
  <si>
    <t>CANO SANCHEZ, CARMEN</t>
  </si>
  <si>
    <t>CAÑAVATE FERNANDEZ, CARMINA</t>
  </si>
  <si>
    <t>DOMÍNGUEZ MONTORO ANA</t>
  </si>
  <si>
    <t>SÁNCHEZ DOMINGO,  MARILUZ</t>
  </si>
  <si>
    <t>SÁNCHEZ GARCÍA,  MARIA LUISA</t>
  </si>
  <si>
    <t>ENSAYO ORQUESTA</t>
  </si>
  <si>
    <t>ÓRGIVA</t>
  </si>
  <si>
    <t>BASÍLICA DE SAN JUAN DE DIOS</t>
  </si>
  <si>
    <t>MUSEO SAN JUAN DE DIOS CP</t>
  </si>
  <si>
    <t xml:space="preserve"> RANZ CHACOBO, ANGEL</t>
  </si>
  <si>
    <t>BERBEL GARCIA, MARIA ISABEL</t>
  </si>
  <si>
    <t xml:space="preserve">MORON GALLARDO,TERESA </t>
  </si>
  <si>
    <t>ALCALA VILCHEZ, MANUEL</t>
  </si>
  <si>
    <t>MORENTE MUÑOZ, MARIA LUISA</t>
  </si>
  <si>
    <t>MAÑOSA TEJADA, MAGDALENA</t>
  </si>
  <si>
    <t>ENTRENA MUÑOZ, PURIFICACIÓN</t>
  </si>
  <si>
    <t>CUELLO MELGAREJO, SANTIAGO</t>
  </si>
  <si>
    <t>RUBIO CASTRO, ESTELA</t>
  </si>
  <si>
    <t>ORGIVA</t>
  </si>
  <si>
    <t>SAN JD</t>
  </si>
  <si>
    <t>RUIZ RODRIGUEZ, PEPA</t>
  </si>
  <si>
    <t>LA CARTUJA</t>
  </si>
  <si>
    <t>MONTES GOMEZ, MARIA DEL CAEMEN</t>
  </si>
  <si>
    <t>VISITA CASA DE LOS PISAS</t>
  </si>
  <si>
    <t>A/3000</t>
  </si>
  <si>
    <t>JAIMEZ ENCARNI</t>
  </si>
  <si>
    <t>M CASA PISA</t>
  </si>
  <si>
    <t>COMIDA DE PATRONA</t>
  </si>
  <si>
    <t>JD</t>
  </si>
  <si>
    <t>VISITA MOTRIL</t>
  </si>
  <si>
    <t>CASTILLO LUQUE MARIA ISABEL</t>
  </si>
  <si>
    <t>ARIZA GONZALEZ MARIA ISABEL</t>
  </si>
  <si>
    <t>MOLINA PORRAS ROSA</t>
  </si>
  <si>
    <t>N/S</t>
  </si>
  <si>
    <t>LA CAR</t>
  </si>
  <si>
    <t>MANGAS MACIAS, FRANCISCA</t>
  </si>
  <si>
    <t>ZUÑIGA GOMEZ, MARIA ANGUSTIAS</t>
  </si>
  <si>
    <t>TEJADA PURIFICACION</t>
  </si>
  <si>
    <t>DOMINGUEZ MONTORO, ANA</t>
  </si>
  <si>
    <t>A/ PEPE R</t>
  </si>
  <si>
    <t>GONZALEZ RODRIGUEZ, JOSE FELIX</t>
  </si>
  <si>
    <t>AREVALO LOPEZ, JOSE MANUEL</t>
  </si>
  <si>
    <t>ROBLES RODRÍGUEZ, ENCARNI</t>
  </si>
  <si>
    <t>POYATOS SÁNCHEZ, JOSÉ A.</t>
  </si>
  <si>
    <t>ALVAREZ MORILLAS, ANGELES</t>
  </si>
  <si>
    <t>GONZALEZ RODRIGUEZ JOSÉ FELIX</t>
  </si>
  <si>
    <t>A/2537</t>
  </si>
  <si>
    <t>BLANCO DE LA FUENTE QUERUBINA</t>
  </si>
  <si>
    <t>MOYANO REDONDO JULIO</t>
  </si>
  <si>
    <t>M CARMEN CAÑAVATE FERNANDEZ</t>
  </si>
  <si>
    <t>A/2874</t>
  </si>
  <si>
    <t>MARI CARMEN FERNANDEZ FERNADEZ</t>
  </si>
  <si>
    <t xml:space="preserve">OCON MOLINA, ALICIA        </t>
  </si>
  <si>
    <t>JUAN ANTONIO MALDONADO JURADO</t>
  </si>
  <si>
    <t>DIRE</t>
  </si>
  <si>
    <t>FLOR MURILLO</t>
  </si>
  <si>
    <t>A/1823</t>
  </si>
  <si>
    <t>GARRIDO RAMIREZ, MATILDE</t>
  </si>
  <si>
    <t>VALVERDE AYBAR FRANCISCO</t>
  </si>
  <si>
    <t>FERNANDEZ FERNANDEZ, MARIA GLORIA</t>
  </si>
  <si>
    <t>FERNANDEZ FERNANDEZ, MARI CARMEN</t>
  </si>
  <si>
    <t>BARCENAS JIMENEZ, BLAS</t>
  </si>
  <si>
    <t>A/3071</t>
  </si>
  <si>
    <t>ARENAS GUTIERREZ, JOSE MIGUEL</t>
  </si>
  <si>
    <t>VISITA A FONELAS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</si>
</sst>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dd\-mm\-yy;@"/>
  </numFmts>
  <fonts count="1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color theme="0"/>
      <name val="Arial"/>
      <family val="2"/>
    </font>
    <font>
      <i/>
      <sz val="11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1"/>
      <color rgb="FF000000"/>
      <name val="Arial"/>
      <family val="2"/>
    </font>
    <font>
      <b/>
      <sz val="11"/>
      <color theme="1"/>
      <name val="Wingdings 2"/>
      <family val="1"/>
      <charset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7924741355632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8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29">
    <xf numFmtId="0" fontId="0" fillId="0" borderId="0" xfId="0"/>
    <xf numFmtId="0" fontId="3" fillId="0" borderId="0" xfId="0" applyFont="1"/>
    <xf numFmtId="0" fontId="4" fillId="0" borderId="1" xfId="0" applyFont="1" applyBorder="1"/>
    <xf numFmtId="0" fontId="5" fillId="0" borderId="0" xfId="0" applyFont="1"/>
    <xf numFmtId="0" fontId="4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right" vertical="center"/>
    </xf>
    <xf numFmtId="0" fontId="7" fillId="0" borderId="1" xfId="0" applyFont="1" applyBorder="1"/>
    <xf numFmtId="0" fontId="8" fillId="0" borderId="0" xfId="1"/>
    <xf numFmtId="0" fontId="7" fillId="0" borderId="3" xfId="0" applyFont="1" applyBorder="1"/>
    <xf numFmtId="0" fontId="7" fillId="0" borderId="3" xfId="0" applyFont="1" applyBorder="1" applyAlignment="1">
      <alignment horizontal="right" vertical="center"/>
    </xf>
    <xf numFmtId="0" fontId="7" fillId="0" borderId="2" xfId="0" applyFont="1" applyBorder="1"/>
    <xf numFmtId="0" fontId="7" fillId="0" borderId="4" xfId="0" applyFont="1" applyBorder="1"/>
    <xf numFmtId="0" fontId="0" fillId="0" borderId="1" xfId="0" applyBorder="1"/>
    <xf numFmtId="0" fontId="7" fillId="2" borderId="1" xfId="0" applyFont="1" applyFill="1" applyBorder="1"/>
    <xf numFmtId="0" fontId="7" fillId="0" borderId="0" xfId="0" applyFont="1"/>
    <xf numFmtId="0" fontId="7" fillId="0" borderId="5" xfId="0" applyFont="1" applyBorder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vertical="center" wrapText="1"/>
    </xf>
    <xf numFmtId="0" fontId="7" fillId="0" borderId="6" xfId="0" applyFont="1" applyBorder="1"/>
    <xf numFmtId="1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7" fillId="0" borderId="0" xfId="0" applyFont="1" applyAlignment="1">
      <alignment horizontal="right"/>
    </xf>
    <xf numFmtId="4" fontId="7" fillId="0" borderId="0" xfId="0" applyNumberFormat="1" applyFont="1" applyAlignment="1">
      <alignment horizontal="right"/>
    </xf>
    <xf numFmtId="1" fontId="6" fillId="3" borderId="1" xfId="0" applyNumberFormat="1" applyFont="1" applyFill="1" applyBorder="1" applyAlignment="1">
      <alignment horizontal="center" vertical="center" wrapText="1"/>
    </xf>
    <xf numFmtId="165" fontId="6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right" vertical="center" wrapText="1"/>
    </xf>
    <xf numFmtId="0" fontId="6" fillId="3" borderId="1" xfId="0" applyFont="1" applyFill="1" applyBorder="1" applyAlignment="1">
      <alignment horizontal="center" vertical="center" wrapText="1"/>
    </xf>
    <xf numFmtId="4" fontId="6" fillId="3" borderId="1" xfId="0" applyNumberFormat="1" applyFont="1" applyFill="1" applyBorder="1" applyAlignment="1">
      <alignment horizontal="right" vertical="center" wrapText="1"/>
    </xf>
    <xf numFmtId="1" fontId="7" fillId="4" borderId="1" xfId="0" applyNumberFormat="1" applyFont="1" applyFill="1" applyBorder="1" applyAlignment="1">
      <alignment horizontal="center"/>
    </xf>
    <xf numFmtId="165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4" borderId="1" xfId="0" applyFont="1" applyFill="1" applyBorder="1"/>
    <xf numFmtId="4" fontId="7" fillId="0" borderId="1" xfId="0" applyNumberFormat="1" applyFont="1" applyBorder="1" applyAlignment="1">
      <alignment horizontal="right"/>
    </xf>
    <xf numFmtId="0" fontId="7" fillId="0" borderId="6" xfId="0" applyFont="1" applyBorder="1" applyAlignment="1">
      <alignment vertical="center" wrapText="1"/>
    </xf>
    <xf numFmtId="0" fontId="7" fillId="0" borderId="7" xfId="0" applyFont="1" applyBorder="1"/>
    <xf numFmtId="1" fontId="7" fillId="4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 wrapText="1"/>
    </xf>
    <xf numFmtId="4" fontId="7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9" fillId="0" borderId="1" xfId="0" applyFont="1" applyBorder="1"/>
    <xf numFmtId="165" fontId="10" fillId="0" borderId="0" xfId="0" applyNumberFormat="1" applyFont="1" applyAlignment="1">
      <alignment horizontal="center"/>
    </xf>
    <xf numFmtId="0" fontId="11" fillId="0" borderId="2" xfId="0" applyFont="1" applyBorder="1" applyAlignment="1">
      <alignment horizontal="right" vertical="center"/>
    </xf>
    <xf numFmtId="0" fontId="12" fillId="0" borderId="1" xfId="0" applyFont="1" applyBorder="1"/>
    <xf numFmtId="0" fontId="7" fillId="0" borderId="8" xfId="0" applyFont="1" applyBorder="1" applyAlignment="1">
      <alignment horizontal="right"/>
    </xf>
    <xf numFmtId="0" fontId="11" fillId="0" borderId="3" xfId="0" applyFont="1" applyBorder="1" applyAlignment="1">
      <alignment horizontal="right" vertical="center"/>
    </xf>
    <xf numFmtId="0" fontId="7" fillId="0" borderId="9" xfId="0" applyFont="1" applyBorder="1" applyAlignment="1">
      <alignment horizontal="right"/>
    </xf>
    <xf numFmtId="0" fontId="11" fillId="0" borderId="3" xfId="0" applyFont="1" applyBorder="1"/>
    <xf numFmtId="0" fontId="7" fillId="0" borderId="10" xfId="0" applyFont="1" applyBorder="1" applyAlignment="1">
      <alignment horizontal="right" vertical="center"/>
    </xf>
    <xf numFmtId="0" fontId="7" fillId="0" borderId="11" xfId="0" applyFont="1" applyBorder="1" applyAlignment="1">
      <alignment horizontal="right" vertical="center"/>
    </xf>
    <xf numFmtId="0" fontId="11" fillId="0" borderId="1" xfId="0" applyFont="1" applyBorder="1" applyAlignment="1">
      <alignment horizontal="center"/>
    </xf>
    <xf numFmtId="0" fontId="7" fillId="0" borderId="1" xfId="0" applyFont="1" applyBorder="1" applyAlignment="1">
      <alignment horizontal="right"/>
    </xf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13" fillId="0" borderId="1" xfId="0" applyFont="1" applyBorder="1"/>
    <xf numFmtId="1" fontId="0" fillId="0" borderId="0" xfId="0" applyNumberFormat="1"/>
    <xf numFmtId="0" fontId="6" fillId="5" borderId="1" xfId="0" applyFont="1" applyFill="1" applyBorder="1" applyAlignment="1">
      <alignment horizontal="center"/>
    </xf>
    <xf numFmtId="1" fontId="14" fillId="5" borderId="0" xfId="0" applyNumberFormat="1" applyFont="1" applyFill="1" applyAlignment="1">
      <alignment horizontal="center"/>
    </xf>
    <xf numFmtId="0" fontId="3" fillId="0" borderId="1" xfId="0" applyFont="1" applyBorder="1" applyAlignment="1">
      <alignment horizontal="center"/>
    </xf>
    <xf numFmtId="0" fontId="7" fillId="4" borderId="1" xfId="0" applyFont="1" applyFill="1" applyBorder="1" applyAlignment="1">
      <alignment horizontal="right"/>
    </xf>
    <xf numFmtId="0" fontId="6" fillId="3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/>
    </xf>
    <xf numFmtId="0" fontId="15" fillId="3" borderId="1" xfId="0" applyFont="1" applyFill="1" applyBorder="1" applyAlignment="1">
      <alignment horizontal="center" vertical="center" wrapText="1"/>
    </xf>
    <xf numFmtId="0" fontId="12" fillId="4" borderId="1" xfId="0" applyFont="1" applyFill="1" applyBorder="1"/>
    <xf numFmtId="0" fontId="6" fillId="5" borderId="0" xfId="0" applyFont="1" applyFill="1" applyAlignment="1">
      <alignment horizontal="center"/>
    </xf>
    <xf numFmtId="0" fontId="7" fillId="0" borderId="1" xfId="0" applyFont="1" applyBorder="1" applyAlignment="1">
      <alignment vertical="center" wrapText="1"/>
    </xf>
    <xf numFmtId="0" fontId="16" fillId="0" borderId="1" xfId="0" applyFont="1" applyBorder="1"/>
    <xf numFmtId="0" fontId="16" fillId="0" borderId="1" xfId="0" applyFont="1" applyBorder="1" applyAlignment="1">
      <alignment horizontal="right"/>
    </xf>
    <xf numFmtId="0" fontId="16" fillId="0" borderId="1" xfId="0" applyFont="1" applyBorder="1" applyAlignment="1">
      <alignment horizontal="center"/>
    </xf>
    <xf numFmtId="0" fontId="3" fillId="4" borderId="1" xfId="0" applyFont="1" applyFill="1" applyBorder="1"/>
    <xf numFmtId="4" fontId="7" fillId="0" borderId="1" xfId="0" applyNumberFormat="1" applyFont="1" applyBorder="1"/>
    <xf numFmtId="4" fontId="6" fillId="5" borderId="1" xfId="0" applyNumberFormat="1" applyFont="1" applyFill="1" applyBorder="1" applyAlignment="1">
      <alignment horizontal="center"/>
    </xf>
    <xf numFmtId="4" fontId="7" fillId="0" borderId="0" xfId="0" applyNumberFormat="1" applyFont="1"/>
    <xf numFmtId="0" fontId="3" fillId="0" borderId="0" xfId="0" applyFont="1" applyAlignment="1">
      <alignment horizontal="center"/>
    </xf>
    <xf numFmtId="0" fontId="17" fillId="6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3" fontId="6" fillId="3" borderId="1" xfId="0" applyNumberFormat="1" applyFont="1" applyFill="1" applyBorder="1" applyAlignment="1">
      <alignment horizontal="center" vertical="center" wrapText="1"/>
    </xf>
    <xf numFmtId="3" fontId="7" fillId="4" borderId="1" xfId="0" applyNumberFormat="1" applyFont="1" applyFill="1" applyBorder="1" applyAlignment="1">
      <alignment horizontal="center"/>
    </xf>
    <xf numFmtId="3" fontId="7" fillId="0" borderId="1" xfId="0" applyNumberFormat="1" applyFont="1" applyBorder="1" applyAlignment="1">
      <alignment horizontal="center"/>
    </xf>
    <xf numFmtId="4" fontId="3" fillId="0" borderId="0" xfId="0" applyNumberFormat="1" applyFont="1"/>
    <xf numFmtId="0" fontId="0" fillId="0" borderId="0" xfId="0" applyAlignment="1">
      <alignment vertical="center"/>
    </xf>
    <xf numFmtId="0" fontId="16" fillId="0" borderId="1" xfId="0" applyFont="1" applyBorder="1" applyAlignment="1">
      <alignment horizontal="center" vertical="center"/>
    </xf>
    <xf numFmtId="165" fontId="7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12" fillId="2" borderId="1" xfId="0" applyFont="1" applyFill="1" applyBorder="1"/>
    <xf numFmtId="4" fontId="7" fillId="2" borderId="1" xfId="0" applyNumberFormat="1" applyFont="1" applyFill="1" applyBorder="1" applyAlignment="1">
      <alignment horizontal="right"/>
    </xf>
    <xf numFmtId="0" fontId="16" fillId="0" borderId="13" xfId="0" applyFont="1" applyBorder="1" applyAlignment="1">
      <alignment horizontal="center" vertical="center"/>
    </xf>
    <xf numFmtId="1" fontId="3" fillId="0" borderId="1" xfId="0" applyNumberFormat="1" applyFont="1" applyBorder="1"/>
    <xf numFmtId="0" fontId="3" fillId="4" borderId="1" xfId="0" applyFont="1" applyFill="1" applyBorder="1" applyAlignment="1">
      <alignment horizontal="right"/>
    </xf>
    <xf numFmtId="0" fontId="3" fillId="0" borderId="1" xfId="0" applyFont="1" applyBorder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4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right"/>
    </xf>
    <xf numFmtId="165" fontId="2" fillId="0" borderId="0" xfId="0" applyNumberFormat="1" applyFont="1"/>
    <xf numFmtId="0" fontId="2" fillId="0" borderId="2" xfId="0" applyFont="1" applyBorder="1"/>
    <xf numFmtId="0" fontId="15" fillId="5" borderId="1" xfId="0" applyFont="1" applyFill="1" applyBorder="1" applyAlignment="1">
      <alignment horizontal="center"/>
    </xf>
    <xf numFmtId="0" fontId="12" fillId="0" borderId="0" xfId="0" applyFont="1"/>
    <xf numFmtId="0" fontId="6" fillId="5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6" fillId="0" borderId="5" xfId="0" applyFont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4" fontId="3" fillId="0" borderId="1" xfId="0" applyNumberFormat="1" applyFont="1" applyBorder="1"/>
    <xf numFmtId="0" fontId="13" fillId="4" borderId="1" xfId="0" applyFont="1" applyFill="1" applyBorder="1" applyAlignment="1">
      <alignment horizontal="right"/>
    </xf>
    <xf numFmtId="0" fontId="0" fillId="0" borderId="0" xfId="0" applyAlignment="1">
      <alignment horizontal="center" vertical="center"/>
    </xf>
    <xf numFmtId="0" fontId="1" fillId="0" borderId="0" xfId="0" applyFont="1"/>
    <xf numFmtId="0" fontId="16" fillId="0" borderId="5" xfId="0" applyFont="1" applyBorder="1"/>
    <xf numFmtId="0" fontId="3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4" fontId="7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top"/>
    </xf>
    <xf numFmtId="0" fontId="6" fillId="4" borderId="2" xfId="0" applyFont="1" applyFill="1" applyBorder="1" applyAlignment="1">
      <alignment horizontal="center"/>
    </xf>
    <xf numFmtId="0" fontId="6" fillId="4" borderId="12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952500</xdr:colOff>
      <xdr:row>0</xdr:row>
      <xdr:rowOff>114300</xdr:rowOff>
    </xdr:from>
    <xdr:to>
      <xdr:col>1</xdr:col>
      <xdr:colOff>1609725</xdr:colOff>
      <xdr:row>4</xdr:row>
      <xdr:rowOff>19050</xdr:rowOff>
    </xdr:to>
    <xdr:pic>
      <xdr:nvPicPr>
        <xdr:cNvPr id="5" name="Imagen 4" descr="alumaasociacion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00" y="114300"/>
          <a:ext cx="657225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pepe@dsds" TargetMode="External"/><Relationship Id="rId13" Type="http://schemas.openxmlformats.org/officeDocument/2006/relationships/hyperlink" Target="mailto:pepe@dsds" TargetMode="External"/><Relationship Id="rId18" Type="http://schemas.openxmlformats.org/officeDocument/2006/relationships/hyperlink" Target="mailto:pepe@dsds" TargetMode="External"/><Relationship Id="rId3" Type="http://schemas.openxmlformats.org/officeDocument/2006/relationships/hyperlink" Target="mailto:pepe@dsds" TargetMode="External"/><Relationship Id="rId7" Type="http://schemas.openxmlformats.org/officeDocument/2006/relationships/hyperlink" Target="mailto:pepe@dsds" TargetMode="External"/><Relationship Id="rId12" Type="http://schemas.openxmlformats.org/officeDocument/2006/relationships/hyperlink" Target="mailto:pepe@dsds" TargetMode="External"/><Relationship Id="rId17" Type="http://schemas.openxmlformats.org/officeDocument/2006/relationships/hyperlink" Target="mailto:pepe@dsds" TargetMode="External"/><Relationship Id="rId2" Type="http://schemas.openxmlformats.org/officeDocument/2006/relationships/hyperlink" Target="mailto:pepe@dsds" TargetMode="External"/><Relationship Id="rId16" Type="http://schemas.openxmlformats.org/officeDocument/2006/relationships/hyperlink" Target="mailto:pepe@dsds" TargetMode="External"/><Relationship Id="rId1" Type="http://schemas.openxmlformats.org/officeDocument/2006/relationships/hyperlink" Target="mailto:pepe@dsds" TargetMode="External"/><Relationship Id="rId6" Type="http://schemas.openxmlformats.org/officeDocument/2006/relationships/hyperlink" Target="mailto:pepe@dsds" TargetMode="External"/><Relationship Id="rId11" Type="http://schemas.openxmlformats.org/officeDocument/2006/relationships/hyperlink" Target="mailto:pepe@dsds" TargetMode="External"/><Relationship Id="rId5" Type="http://schemas.openxmlformats.org/officeDocument/2006/relationships/hyperlink" Target="mailto:pepe@dsds" TargetMode="External"/><Relationship Id="rId15" Type="http://schemas.openxmlformats.org/officeDocument/2006/relationships/hyperlink" Target="mailto:pepe@dsds" TargetMode="External"/><Relationship Id="rId10" Type="http://schemas.openxmlformats.org/officeDocument/2006/relationships/hyperlink" Target="mailto:pepe@dsds" TargetMode="External"/><Relationship Id="rId19" Type="http://schemas.openxmlformats.org/officeDocument/2006/relationships/hyperlink" Target="mailto:pepe@dsds" TargetMode="External"/><Relationship Id="rId4" Type="http://schemas.openxmlformats.org/officeDocument/2006/relationships/hyperlink" Target="mailto:pepe@dsds" TargetMode="External"/><Relationship Id="rId9" Type="http://schemas.openxmlformats.org/officeDocument/2006/relationships/hyperlink" Target="mailto:pepe@dsds" TargetMode="External"/><Relationship Id="rId14" Type="http://schemas.openxmlformats.org/officeDocument/2006/relationships/hyperlink" Target="mailto:pepe@dsds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K1308"/>
  <sheetViews>
    <sheetView showGridLines="0" zoomScale="110" zoomScaleNormal="110" workbookViewId="0">
      <pane ySplit="1" topLeftCell="A1139" activePane="bottomLeft" state="frozen"/>
      <selection pane="bottomLeft" activeCell="G1145" sqref="G1145"/>
    </sheetView>
  </sheetViews>
  <sheetFormatPr baseColWidth="10" defaultColWidth="11.42578125" defaultRowHeight="14.25"/>
  <cols>
    <col min="1" max="1" width="8.85546875" style="23" customWidth="1"/>
    <col min="2" max="2" width="12.7109375" style="24" customWidth="1"/>
    <col min="3" max="3" width="12.28515625" style="25" customWidth="1"/>
    <col min="4" max="4" width="38.28515625" style="17" customWidth="1"/>
    <col min="5" max="5" width="7.28515625" style="19" customWidth="1"/>
    <col min="6" max="6" width="26.5703125" style="17" customWidth="1"/>
    <col min="7" max="7" width="8.7109375" style="17" customWidth="1"/>
    <col min="8" max="8" width="9.5703125" style="26" customWidth="1"/>
    <col min="9" max="9" width="7" style="19" customWidth="1"/>
    <col min="10" max="10" width="8.140625" style="17" customWidth="1"/>
    <col min="11" max="11" width="11.42578125" style="22"/>
    <col min="12" max="16384" width="11.42578125" style="17"/>
  </cols>
  <sheetData>
    <row r="1" spans="1:11" s="21" customFormat="1" ht="45">
      <c r="A1" s="27" t="s">
        <v>0</v>
      </c>
      <c r="B1" s="28" t="s">
        <v>1</v>
      </c>
      <c r="C1" s="29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1" t="s">
        <v>7</v>
      </c>
      <c r="I1" s="30" t="s">
        <v>8</v>
      </c>
      <c r="J1" s="30" t="s">
        <v>9</v>
      </c>
      <c r="K1" s="37"/>
    </row>
    <row r="2" spans="1:11" s="21" customFormat="1" ht="15">
      <c r="A2" s="39">
        <v>1</v>
      </c>
      <c r="B2" s="33">
        <v>44935</v>
      </c>
      <c r="C2" s="40">
        <v>2003</v>
      </c>
      <c r="D2" s="9" t="s">
        <v>10</v>
      </c>
      <c r="E2" s="41">
        <v>1</v>
      </c>
      <c r="F2" s="35" t="str">
        <f>IFERROR(LOOKUP(E2,CODIGOS!A:A,CODIGOS!B:B)," ")</f>
        <v>CUOTA SOCIO</v>
      </c>
      <c r="G2" s="7"/>
      <c r="H2" s="36">
        <v>20</v>
      </c>
      <c r="I2" s="34" t="s">
        <v>11</v>
      </c>
      <c r="J2" s="7"/>
      <c r="K2" s="37"/>
    </row>
    <row r="3" spans="1:11" s="21" customFormat="1" ht="15">
      <c r="A3" s="39">
        <v>2</v>
      </c>
      <c r="B3" s="33">
        <v>44935</v>
      </c>
      <c r="C3" s="40">
        <v>1930</v>
      </c>
      <c r="D3" s="9" t="s">
        <v>12</v>
      </c>
      <c r="E3" s="41">
        <v>1</v>
      </c>
      <c r="F3" s="35" t="str">
        <f>IFERROR(LOOKUP(E3,CODIGOS!A:A,CODIGOS!B:B)," ")</f>
        <v>CUOTA SOCIO</v>
      </c>
      <c r="G3" s="7"/>
      <c r="H3" s="36">
        <v>20</v>
      </c>
      <c r="I3" s="34" t="s">
        <v>11</v>
      </c>
      <c r="J3" s="7"/>
      <c r="K3" s="37"/>
    </row>
    <row r="4" spans="1:11" s="21" customFormat="1" ht="15">
      <c r="A4" s="39">
        <v>3</v>
      </c>
      <c r="B4" s="33">
        <v>44935</v>
      </c>
      <c r="C4" s="40">
        <v>2004</v>
      </c>
      <c r="D4" s="9" t="s">
        <v>13</v>
      </c>
      <c r="E4" s="41">
        <v>1</v>
      </c>
      <c r="F4" s="35" t="str">
        <f>IFERROR(LOOKUP(E4,CODIGOS!A:A,CODIGOS!B:B)," ")</f>
        <v>CUOTA SOCIO</v>
      </c>
      <c r="G4" s="7"/>
      <c r="H4" s="36">
        <v>20</v>
      </c>
      <c r="I4" s="34" t="s">
        <v>11</v>
      </c>
      <c r="J4" s="7"/>
      <c r="K4" s="37"/>
    </row>
    <row r="5" spans="1:11" s="21" customFormat="1" ht="15">
      <c r="A5" s="39">
        <v>4</v>
      </c>
      <c r="B5" s="33">
        <v>44935</v>
      </c>
      <c r="C5" s="40">
        <v>2324</v>
      </c>
      <c r="D5" s="9" t="s">
        <v>14</v>
      </c>
      <c r="E5" s="41">
        <v>1</v>
      </c>
      <c r="F5" s="35" t="str">
        <f>IFERROR(LOOKUP(E5,CODIGOS!A:A,CODIGOS!B:B)," ")</f>
        <v>CUOTA SOCIO</v>
      </c>
      <c r="G5" s="7"/>
      <c r="H5" s="36">
        <v>20</v>
      </c>
      <c r="I5" s="34" t="s">
        <v>11</v>
      </c>
      <c r="J5" s="7"/>
      <c r="K5" s="37"/>
    </row>
    <row r="6" spans="1:11" s="21" customFormat="1" ht="15">
      <c r="A6" s="39">
        <v>5</v>
      </c>
      <c r="B6" s="33">
        <v>44935</v>
      </c>
      <c r="C6" s="40">
        <v>2392</v>
      </c>
      <c r="D6" s="9" t="s">
        <v>15</v>
      </c>
      <c r="E6" s="41">
        <v>1</v>
      </c>
      <c r="F6" s="35" t="str">
        <f>IFERROR(LOOKUP(E6,CODIGOS!A:A,CODIGOS!B:B)," ")</f>
        <v>CUOTA SOCIO</v>
      </c>
      <c r="G6" s="7"/>
      <c r="H6" s="36">
        <v>20</v>
      </c>
      <c r="I6" s="34" t="s">
        <v>11</v>
      </c>
      <c r="J6" s="7"/>
      <c r="K6" s="37"/>
    </row>
    <row r="7" spans="1:11" s="21" customFormat="1" ht="15">
      <c r="A7" s="39">
        <v>6</v>
      </c>
      <c r="B7" s="33">
        <v>44935</v>
      </c>
      <c r="C7" s="9">
        <v>2570</v>
      </c>
      <c r="D7" s="9" t="s">
        <v>16</v>
      </c>
      <c r="E7" s="41">
        <v>1</v>
      </c>
      <c r="F7" s="35" t="str">
        <f>IFERROR(LOOKUP(E7,CODIGOS!A:A,CODIGOS!B:B)," ")</f>
        <v>CUOTA SOCIO</v>
      </c>
      <c r="G7" s="7"/>
      <c r="H7" s="36">
        <v>20</v>
      </c>
      <c r="I7" s="34" t="s">
        <v>11</v>
      </c>
      <c r="J7" s="7"/>
      <c r="K7" s="37"/>
    </row>
    <row r="8" spans="1:11" s="21" customFormat="1" ht="15">
      <c r="A8" s="39">
        <v>7</v>
      </c>
      <c r="B8" s="33">
        <v>44935</v>
      </c>
      <c r="C8" s="9">
        <v>2571</v>
      </c>
      <c r="D8" s="9" t="s">
        <v>17</v>
      </c>
      <c r="E8" s="41">
        <v>1</v>
      </c>
      <c r="F8" s="35" t="str">
        <f>IFERROR(LOOKUP(E8,CODIGOS!A:A,CODIGOS!B:B)," ")</f>
        <v>CUOTA SOCIO</v>
      </c>
      <c r="G8" s="7"/>
      <c r="H8" s="36">
        <v>20</v>
      </c>
      <c r="I8" s="34" t="s">
        <v>11</v>
      </c>
      <c r="J8" s="7"/>
      <c r="K8" s="37"/>
    </row>
    <row r="9" spans="1:11">
      <c r="A9" s="39">
        <v>8</v>
      </c>
      <c r="B9" s="33">
        <v>44935</v>
      </c>
      <c r="C9" s="9">
        <v>1680</v>
      </c>
      <c r="D9" s="9" t="s">
        <v>18</v>
      </c>
      <c r="E9" s="41">
        <v>1</v>
      </c>
      <c r="F9" s="35" t="str">
        <f>IFERROR(LOOKUP(E9,CODIGOS!A:A,CODIGOS!B:B)," ")</f>
        <v>CUOTA SOCIO</v>
      </c>
      <c r="G9" s="9"/>
      <c r="H9" s="36">
        <v>20</v>
      </c>
      <c r="I9" s="34" t="s">
        <v>11</v>
      </c>
      <c r="J9" s="9"/>
    </row>
    <row r="10" spans="1:11">
      <c r="A10" s="39">
        <v>9</v>
      </c>
      <c r="B10" s="33">
        <v>44935</v>
      </c>
      <c r="C10" s="9">
        <v>2105</v>
      </c>
      <c r="D10" s="9" t="s">
        <v>19</v>
      </c>
      <c r="E10" s="41">
        <v>1</v>
      </c>
      <c r="F10" s="35" t="str">
        <f>IFERROR(LOOKUP(E10,CODIGOS!A:A,CODIGOS!B:B)," ")</f>
        <v>CUOTA SOCIO</v>
      </c>
      <c r="G10" s="9"/>
      <c r="H10" s="36">
        <v>20</v>
      </c>
      <c r="I10" s="34" t="s">
        <v>20</v>
      </c>
      <c r="J10" s="9"/>
    </row>
    <row r="11" spans="1:11">
      <c r="A11" s="39">
        <v>10</v>
      </c>
      <c r="B11" s="33">
        <v>44935</v>
      </c>
      <c r="C11" s="9">
        <v>575</v>
      </c>
      <c r="D11" s="9" t="s">
        <v>21</v>
      </c>
      <c r="E11" s="41">
        <v>1</v>
      </c>
      <c r="F11" s="35" t="str">
        <f>IFERROR(LOOKUP(E11,CODIGOS!A:A,CODIGOS!B:B)," ")</f>
        <v>CUOTA SOCIO</v>
      </c>
      <c r="G11" s="9"/>
      <c r="H11" s="36">
        <v>20</v>
      </c>
      <c r="I11" s="34" t="s">
        <v>20</v>
      </c>
      <c r="J11" s="9"/>
    </row>
    <row r="12" spans="1:11">
      <c r="A12" s="39">
        <v>11</v>
      </c>
      <c r="B12" s="33">
        <v>44935</v>
      </c>
      <c r="C12" s="9">
        <v>410</v>
      </c>
      <c r="D12" s="9" t="s">
        <v>22</v>
      </c>
      <c r="E12" s="41">
        <v>1</v>
      </c>
      <c r="F12" s="35" t="str">
        <f>IFERROR(LOOKUP(E12,CODIGOS!A:A,CODIGOS!B:B)," ")</f>
        <v>CUOTA SOCIO</v>
      </c>
      <c r="G12" s="9"/>
      <c r="H12" s="36">
        <v>20</v>
      </c>
      <c r="I12" s="34" t="s">
        <v>20</v>
      </c>
      <c r="J12" s="9"/>
    </row>
    <row r="13" spans="1:11">
      <c r="A13" s="39">
        <v>12</v>
      </c>
      <c r="B13" s="33">
        <v>44935</v>
      </c>
      <c r="C13" s="9" t="s">
        <v>23</v>
      </c>
      <c r="D13" s="9" t="s">
        <v>24</v>
      </c>
      <c r="E13" s="41">
        <v>1</v>
      </c>
      <c r="F13" s="35" t="str">
        <f>IFERROR(LOOKUP(E13,CODIGOS!A:A,CODIGOS!B:B)," ")</f>
        <v>CUOTA SOCIO</v>
      </c>
      <c r="G13" s="9"/>
      <c r="H13" s="36">
        <v>30</v>
      </c>
      <c r="I13" s="34" t="s">
        <v>20</v>
      </c>
      <c r="J13" s="9"/>
    </row>
    <row r="14" spans="1:11">
      <c r="A14" s="39">
        <v>13</v>
      </c>
      <c r="B14" s="33">
        <v>44935</v>
      </c>
      <c r="C14" s="9">
        <v>2555</v>
      </c>
      <c r="D14" s="9" t="s">
        <v>25</v>
      </c>
      <c r="E14" s="41">
        <v>1</v>
      </c>
      <c r="F14" s="35" t="str">
        <f>IFERROR(LOOKUP(E14,CODIGOS!A:A,CODIGOS!B:B)," ")</f>
        <v>CUOTA SOCIO</v>
      </c>
      <c r="G14" s="9"/>
      <c r="H14" s="36">
        <v>20</v>
      </c>
      <c r="I14" s="34" t="s">
        <v>11</v>
      </c>
      <c r="J14" s="9"/>
    </row>
    <row r="15" spans="1:11">
      <c r="A15" s="39">
        <v>14</v>
      </c>
      <c r="B15" s="33">
        <v>44935</v>
      </c>
      <c r="C15" s="9">
        <v>1982</v>
      </c>
      <c r="D15" s="9" t="s">
        <v>26</v>
      </c>
      <c r="E15" s="41">
        <v>1</v>
      </c>
      <c r="F15" s="35" t="str">
        <f>IFERROR(LOOKUP(E15,CODIGOS!A:A,CODIGOS!B:B)," ")</f>
        <v>CUOTA SOCIO</v>
      </c>
      <c r="G15" s="9"/>
      <c r="H15" s="36">
        <v>20</v>
      </c>
      <c r="I15" s="34" t="s">
        <v>11</v>
      </c>
      <c r="J15" s="9"/>
    </row>
    <row r="16" spans="1:11">
      <c r="A16" s="39">
        <v>15</v>
      </c>
      <c r="B16" s="33">
        <v>44935</v>
      </c>
      <c r="C16" s="9" t="s">
        <v>27</v>
      </c>
      <c r="D16" s="9" t="s">
        <v>28</v>
      </c>
      <c r="E16" s="41">
        <v>1</v>
      </c>
      <c r="F16" s="35" t="str">
        <f>IFERROR(LOOKUP(E16,CODIGOS!A:A,CODIGOS!B:B)," ")</f>
        <v>CUOTA SOCIO</v>
      </c>
      <c r="G16" s="9"/>
      <c r="H16" s="36">
        <v>30</v>
      </c>
      <c r="I16" s="34" t="s">
        <v>20</v>
      </c>
      <c r="J16" s="9"/>
    </row>
    <row r="17" spans="1:10">
      <c r="A17" s="39">
        <v>16</v>
      </c>
      <c r="B17" s="33">
        <v>44935</v>
      </c>
      <c r="C17" s="9">
        <v>2489</v>
      </c>
      <c r="D17" s="9" t="s">
        <v>29</v>
      </c>
      <c r="E17" s="41">
        <v>1</v>
      </c>
      <c r="F17" s="35" t="str">
        <f>IFERROR(LOOKUP(E17,CODIGOS!A:A,CODIGOS!B:B)," ")</f>
        <v>CUOTA SOCIO</v>
      </c>
      <c r="G17" s="9"/>
      <c r="H17" s="36">
        <v>20</v>
      </c>
      <c r="I17" s="34" t="s">
        <v>11</v>
      </c>
      <c r="J17" s="9"/>
    </row>
    <row r="18" spans="1:10">
      <c r="A18" s="39">
        <v>17</v>
      </c>
      <c r="B18" s="33">
        <v>44936</v>
      </c>
      <c r="C18" s="40">
        <v>2131</v>
      </c>
      <c r="D18" s="9" t="s">
        <v>30</v>
      </c>
      <c r="E18" s="41">
        <v>1</v>
      </c>
      <c r="F18" s="35" t="str">
        <f>IFERROR(LOOKUP(E18,CODIGOS!A:A,CODIGOS!B:B)," ")</f>
        <v>CUOTA SOCIO</v>
      </c>
      <c r="G18" s="9"/>
      <c r="H18" s="36">
        <v>20</v>
      </c>
      <c r="I18" s="34" t="s">
        <v>11</v>
      </c>
      <c r="J18" s="9"/>
    </row>
    <row r="19" spans="1:10">
      <c r="A19" s="39">
        <v>18</v>
      </c>
      <c r="B19" s="33">
        <v>44936</v>
      </c>
      <c r="C19" s="40" t="s">
        <v>31</v>
      </c>
      <c r="D19" s="9" t="s">
        <v>32</v>
      </c>
      <c r="E19" s="41">
        <v>1</v>
      </c>
      <c r="F19" s="35" t="str">
        <f>IFERROR(LOOKUP(E19,CODIGOS!A:A,CODIGOS!B:B)," ")</f>
        <v>CUOTA SOCIO</v>
      </c>
      <c r="G19" s="9"/>
      <c r="H19" s="36">
        <v>30</v>
      </c>
      <c r="I19" s="34" t="s">
        <v>20</v>
      </c>
      <c r="J19" s="9"/>
    </row>
    <row r="20" spans="1:10">
      <c r="A20" s="39">
        <v>19</v>
      </c>
      <c r="B20" s="33">
        <v>44936</v>
      </c>
      <c r="C20" s="40">
        <v>2559</v>
      </c>
      <c r="D20" s="9" t="s">
        <v>33</v>
      </c>
      <c r="E20" s="41">
        <v>1</v>
      </c>
      <c r="F20" s="35" t="str">
        <f>IFERROR(LOOKUP(E20,CODIGOS!A:A,CODIGOS!B:B)," ")</f>
        <v>CUOTA SOCIO</v>
      </c>
      <c r="G20" s="9"/>
      <c r="H20" s="36">
        <v>20</v>
      </c>
      <c r="I20" s="34" t="s">
        <v>11</v>
      </c>
      <c r="J20" s="9"/>
    </row>
    <row r="21" spans="1:10">
      <c r="A21" s="39">
        <v>20</v>
      </c>
      <c r="B21" s="33">
        <v>44936</v>
      </c>
      <c r="C21" s="40">
        <v>2588</v>
      </c>
      <c r="D21" s="9" t="s">
        <v>34</v>
      </c>
      <c r="E21" s="34">
        <v>2</v>
      </c>
      <c r="F21" s="35" t="str">
        <f>IFERROR(LOOKUP(E21,CODIGOS!A:A,CODIGOS!B:B)," ")</f>
        <v>CUOTA NUEVO SOCIO</v>
      </c>
      <c r="G21" s="9"/>
      <c r="H21" s="36">
        <v>5</v>
      </c>
      <c r="I21" s="34" t="s">
        <v>11</v>
      </c>
      <c r="J21" s="9"/>
    </row>
    <row r="22" spans="1:10">
      <c r="A22" s="39">
        <v>21</v>
      </c>
      <c r="B22" s="33">
        <v>44936</v>
      </c>
      <c r="C22" s="40">
        <v>2314</v>
      </c>
      <c r="D22" s="9" t="s">
        <v>35</v>
      </c>
      <c r="E22" s="34">
        <v>2</v>
      </c>
      <c r="F22" s="35" t="str">
        <f>IFERROR(LOOKUP(E22,CODIGOS!A:A,CODIGOS!B:B)," ")</f>
        <v>CUOTA NUEVO SOCIO</v>
      </c>
      <c r="G22" s="9"/>
      <c r="H22" s="36">
        <v>5</v>
      </c>
      <c r="I22" s="34"/>
      <c r="J22" s="9"/>
    </row>
    <row r="23" spans="1:10">
      <c r="A23" s="39">
        <v>22</v>
      </c>
      <c r="B23" s="33">
        <v>44936</v>
      </c>
      <c r="C23" s="40">
        <v>2315</v>
      </c>
      <c r="D23" s="9" t="s">
        <v>36</v>
      </c>
      <c r="E23" s="34">
        <v>2</v>
      </c>
      <c r="F23" s="35" t="str">
        <f>IFERROR(LOOKUP(E23,CODIGOS!A:A,CODIGOS!B:B)," ")</f>
        <v>CUOTA NUEVO SOCIO</v>
      </c>
      <c r="G23" s="9"/>
      <c r="H23" s="36">
        <v>5</v>
      </c>
      <c r="I23" s="34"/>
      <c r="J23" s="9"/>
    </row>
    <row r="24" spans="1:10">
      <c r="A24" s="39">
        <v>23</v>
      </c>
      <c r="B24" s="33">
        <v>44936</v>
      </c>
      <c r="C24" s="40">
        <v>2471</v>
      </c>
      <c r="D24" s="9" t="s">
        <v>37</v>
      </c>
      <c r="E24" s="41">
        <v>1</v>
      </c>
      <c r="F24" s="35" t="str">
        <f>IFERROR(LOOKUP(E24,CODIGOS!A:A,CODIGOS!B:B)," ")</f>
        <v>CUOTA SOCIO</v>
      </c>
      <c r="G24" s="9"/>
      <c r="H24" s="36">
        <v>20</v>
      </c>
      <c r="I24" s="34"/>
      <c r="J24" s="9"/>
    </row>
    <row r="25" spans="1:10">
      <c r="A25" s="39">
        <v>24</v>
      </c>
      <c r="B25" s="33">
        <v>44937</v>
      </c>
      <c r="C25" s="9">
        <v>2492</v>
      </c>
      <c r="D25" s="9" t="s">
        <v>38</v>
      </c>
      <c r="E25" s="34">
        <v>2</v>
      </c>
      <c r="F25" s="35" t="str">
        <f>IFERROR(LOOKUP(E25,CODIGOS!A:A,CODIGOS!B:B)," ")</f>
        <v>CUOTA NUEVO SOCIO</v>
      </c>
      <c r="G25" s="9"/>
      <c r="H25" s="36">
        <v>5</v>
      </c>
      <c r="I25" s="34"/>
      <c r="J25" s="9"/>
    </row>
    <row r="26" spans="1:10">
      <c r="A26" s="39">
        <v>25</v>
      </c>
      <c r="B26" s="33">
        <v>44937</v>
      </c>
      <c r="C26" s="9">
        <v>2414</v>
      </c>
      <c r="D26" s="9" t="s">
        <v>39</v>
      </c>
      <c r="E26" s="41">
        <v>1</v>
      </c>
      <c r="F26" s="35" t="str">
        <f>IFERROR(LOOKUP(E26,CODIGOS!A:A,CODIGOS!B:B)," ")</f>
        <v>CUOTA SOCIO</v>
      </c>
      <c r="G26" s="9"/>
      <c r="H26" s="36">
        <v>20</v>
      </c>
      <c r="I26" s="34" t="s">
        <v>11</v>
      </c>
      <c r="J26" s="9"/>
    </row>
    <row r="27" spans="1:10">
      <c r="A27" s="39">
        <v>26</v>
      </c>
      <c r="B27" s="33">
        <v>44937</v>
      </c>
      <c r="C27" s="9">
        <v>2456</v>
      </c>
      <c r="D27" s="9" t="s">
        <v>40</v>
      </c>
      <c r="E27" s="41">
        <v>1</v>
      </c>
      <c r="F27" s="35" t="str">
        <f>IFERROR(LOOKUP(E27,CODIGOS!A:A,CODIGOS!B:B)," ")</f>
        <v>CUOTA SOCIO</v>
      </c>
      <c r="G27" s="9"/>
      <c r="H27" s="36">
        <v>20</v>
      </c>
      <c r="I27" s="34" t="s">
        <v>20</v>
      </c>
      <c r="J27" s="9"/>
    </row>
    <row r="28" spans="1:10">
      <c r="A28" s="39">
        <v>27</v>
      </c>
      <c r="B28" s="33">
        <v>44937</v>
      </c>
      <c r="C28" s="9">
        <v>2557</v>
      </c>
      <c r="D28" s="9" t="s">
        <v>41</v>
      </c>
      <c r="E28" s="34">
        <v>55</v>
      </c>
      <c r="F28" s="35">
        <f>IFERROR(LOOKUP(E28,CODIGOS!A:A,CODIGOS!B:B)," ")</f>
        <v>0</v>
      </c>
      <c r="G28" s="9"/>
      <c r="H28" s="36">
        <v>25</v>
      </c>
      <c r="I28" s="34" t="s">
        <v>11</v>
      </c>
      <c r="J28" s="9"/>
    </row>
    <row r="29" spans="1:10">
      <c r="A29" s="39">
        <v>28</v>
      </c>
      <c r="B29" s="33">
        <v>44937</v>
      </c>
      <c r="C29" s="9">
        <v>2706</v>
      </c>
      <c r="D29" s="9" t="s">
        <v>42</v>
      </c>
      <c r="E29" s="34">
        <v>2</v>
      </c>
      <c r="F29" s="35" t="str">
        <f>IFERROR(LOOKUP(E29,CODIGOS!A:A,CODIGOS!B:B)," ")</f>
        <v>CUOTA NUEVO SOCIO</v>
      </c>
      <c r="G29" s="9"/>
      <c r="H29" s="36">
        <v>5</v>
      </c>
      <c r="I29" s="34"/>
      <c r="J29" s="9"/>
    </row>
    <row r="30" spans="1:10">
      <c r="A30" s="39">
        <v>29</v>
      </c>
      <c r="B30" s="33">
        <v>44942</v>
      </c>
      <c r="C30" s="40">
        <v>1823</v>
      </c>
      <c r="D30" s="9" t="s">
        <v>43</v>
      </c>
      <c r="E30" s="41">
        <v>1</v>
      </c>
      <c r="F30" s="35" t="str">
        <f>IFERROR(LOOKUP(E30,CODIGOS!A:A,CODIGOS!B:B)," ")</f>
        <v>CUOTA SOCIO</v>
      </c>
      <c r="G30" s="9"/>
      <c r="H30" s="36">
        <v>20</v>
      </c>
      <c r="I30" s="34" t="s">
        <v>11</v>
      </c>
      <c r="J30" s="9"/>
    </row>
    <row r="31" spans="1:10">
      <c r="A31" s="39">
        <v>30</v>
      </c>
      <c r="B31" s="33">
        <v>44942</v>
      </c>
      <c r="C31" s="40">
        <v>1433</v>
      </c>
      <c r="D31" s="9" t="s">
        <v>44</v>
      </c>
      <c r="E31" s="34">
        <v>2</v>
      </c>
      <c r="F31" s="35" t="str">
        <f>IFERROR(LOOKUP(E31,CODIGOS!A:A,CODIGOS!B:B)," ")</f>
        <v>CUOTA NUEVO SOCIO</v>
      </c>
      <c r="G31" s="9"/>
      <c r="H31" s="36">
        <v>15</v>
      </c>
      <c r="I31" s="34">
        <v>3</v>
      </c>
      <c r="J31" s="9"/>
    </row>
    <row r="32" spans="1:10">
      <c r="A32" s="39">
        <v>31</v>
      </c>
      <c r="B32" s="33">
        <v>44943</v>
      </c>
      <c r="C32" s="40">
        <v>2679</v>
      </c>
      <c r="D32" s="9" t="s">
        <v>45</v>
      </c>
      <c r="E32" s="34">
        <v>3</v>
      </c>
      <c r="F32" s="35">
        <f>IFERROR(LOOKUP(E32,CODIGOS!A:A,CODIGOS!B:B)," ")</f>
        <v>0</v>
      </c>
      <c r="G32" s="9"/>
      <c r="H32" s="36">
        <v>5</v>
      </c>
      <c r="I32" s="34"/>
      <c r="J32" s="9"/>
    </row>
    <row r="33" spans="1:10">
      <c r="A33" s="39">
        <v>32</v>
      </c>
      <c r="B33" s="33">
        <v>44943</v>
      </c>
      <c r="C33" s="40" t="s">
        <v>46</v>
      </c>
      <c r="D33" s="9" t="s">
        <v>47</v>
      </c>
      <c r="E33" s="34">
        <v>1</v>
      </c>
      <c r="F33" s="35" t="str">
        <f>IFERROR(LOOKUP(E33,CODIGOS!A:A,CODIGOS!B:B)," ")</f>
        <v>CUOTA SOCIO</v>
      </c>
      <c r="G33" s="9"/>
      <c r="H33" s="36">
        <v>20</v>
      </c>
      <c r="I33" s="34"/>
      <c r="J33" s="9"/>
    </row>
    <row r="34" spans="1:10">
      <c r="A34" s="39">
        <v>33</v>
      </c>
      <c r="B34" s="33">
        <v>44944</v>
      </c>
      <c r="C34" s="40">
        <v>1920</v>
      </c>
      <c r="D34" s="9" t="s">
        <v>48</v>
      </c>
      <c r="E34" s="34">
        <v>4</v>
      </c>
      <c r="F34" s="35" t="str">
        <f>IFERROR(LOOKUP(E34,CODIGOS!A:A,CODIGOS!B:B)," ")</f>
        <v>DEVOLUCION</v>
      </c>
      <c r="G34" s="9"/>
      <c r="H34" s="36">
        <v>15</v>
      </c>
      <c r="I34" s="34" t="s">
        <v>11</v>
      </c>
      <c r="J34" s="9"/>
    </row>
    <row r="35" spans="1:10">
      <c r="A35" s="39">
        <v>34</v>
      </c>
      <c r="B35" s="33">
        <v>44944</v>
      </c>
      <c r="C35" s="40">
        <v>2563</v>
      </c>
      <c r="D35" s="9" t="s">
        <v>49</v>
      </c>
      <c r="E35" s="34">
        <v>4</v>
      </c>
      <c r="F35" s="35" t="str">
        <f>IFERROR(LOOKUP(E35,CODIGOS!A:A,CODIGOS!B:B)," ")</f>
        <v>DEVOLUCION</v>
      </c>
      <c r="G35" s="9"/>
      <c r="H35" s="36">
        <v>15</v>
      </c>
      <c r="I35" s="34" t="s">
        <v>11</v>
      </c>
      <c r="J35" s="9"/>
    </row>
    <row r="36" spans="1:10">
      <c r="A36" s="39">
        <v>35</v>
      </c>
      <c r="B36" s="33">
        <v>44944</v>
      </c>
      <c r="C36" s="40" t="s">
        <v>46</v>
      </c>
      <c r="D36" s="9" t="s">
        <v>50</v>
      </c>
      <c r="E36" s="34">
        <v>4</v>
      </c>
      <c r="F36" s="35" t="str">
        <f>IFERROR(LOOKUP(E36,CODIGOS!A:A,CODIGOS!B:B)," ")</f>
        <v>DEVOLUCION</v>
      </c>
      <c r="G36" s="9"/>
      <c r="H36" s="36">
        <v>15</v>
      </c>
      <c r="I36" s="34" t="s">
        <v>20</v>
      </c>
      <c r="J36" s="9"/>
    </row>
    <row r="37" spans="1:10">
      <c r="A37" s="39">
        <v>36</v>
      </c>
      <c r="B37" s="33">
        <v>44944</v>
      </c>
      <c r="C37" s="40">
        <v>269</v>
      </c>
      <c r="D37" s="9" t="s">
        <v>51</v>
      </c>
      <c r="E37" s="34">
        <v>4</v>
      </c>
      <c r="F37" s="35" t="str">
        <f>IFERROR(LOOKUP(E37,CODIGOS!A:A,CODIGOS!B:B)," ")</f>
        <v>DEVOLUCION</v>
      </c>
      <c r="G37" s="9"/>
      <c r="H37" s="36">
        <v>15</v>
      </c>
      <c r="I37" s="34" t="s">
        <v>11</v>
      </c>
      <c r="J37" s="9"/>
    </row>
    <row r="38" spans="1:10">
      <c r="A38" s="39">
        <v>37</v>
      </c>
      <c r="B38" s="33">
        <v>44944</v>
      </c>
      <c r="C38" s="40" t="s">
        <v>52</v>
      </c>
      <c r="D38" s="9" t="s">
        <v>53</v>
      </c>
      <c r="E38" s="34">
        <v>5</v>
      </c>
      <c r="F38" s="35">
        <f>IFERROR(LOOKUP(E38,CODIGOS!A:A,CODIGOS!B:B)," ")</f>
        <v>0</v>
      </c>
      <c r="G38" s="9"/>
      <c r="H38" s="36">
        <v>20</v>
      </c>
      <c r="I38" s="34" t="s">
        <v>20</v>
      </c>
      <c r="J38" s="9"/>
    </row>
    <row r="39" spans="1:10">
      <c r="A39" s="39">
        <v>38</v>
      </c>
      <c r="B39" s="33">
        <v>44944</v>
      </c>
      <c r="C39" s="9">
        <v>2632</v>
      </c>
      <c r="D39" s="9" t="s">
        <v>54</v>
      </c>
      <c r="E39" s="34">
        <v>5</v>
      </c>
      <c r="F39" s="35">
        <f>IFERROR(LOOKUP(E39,CODIGOS!A:A,CODIGOS!B:B)," ")</f>
        <v>0</v>
      </c>
      <c r="G39" s="9"/>
      <c r="H39" s="36">
        <v>15</v>
      </c>
      <c r="I39" s="34" t="s">
        <v>11</v>
      </c>
      <c r="J39" s="9"/>
    </row>
    <row r="40" spans="1:10">
      <c r="A40" s="39">
        <v>39</v>
      </c>
      <c r="B40" s="33">
        <v>44944</v>
      </c>
      <c r="C40" s="9">
        <v>2553</v>
      </c>
      <c r="D40" s="9" t="s">
        <v>55</v>
      </c>
      <c r="E40" s="34">
        <v>5</v>
      </c>
      <c r="F40" s="35">
        <f>IFERROR(LOOKUP(E40,CODIGOS!A:A,CODIGOS!B:B)," ")</f>
        <v>0</v>
      </c>
      <c r="G40" s="9"/>
      <c r="H40" s="36">
        <v>15</v>
      </c>
      <c r="I40" s="34" t="s">
        <v>11</v>
      </c>
      <c r="J40" s="9"/>
    </row>
    <row r="41" spans="1:10">
      <c r="A41" s="39">
        <v>40</v>
      </c>
      <c r="B41" s="33">
        <v>44944</v>
      </c>
      <c r="C41" s="9">
        <v>2720</v>
      </c>
      <c r="D41" s="9" t="s">
        <v>56</v>
      </c>
      <c r="E41" s="34">
        <v>55</v>
      </c>
      <c r="F41" s="35">
        <f>IFERROR(LOOKUP(E41,CODIGOS!A:A,CODIGOS!B:B)," ")</f>
        <v>0</v>
      </c>
      <c r="G41" s="9"/>
      <c r="H41" s="36">
        <v>25</v>
      </c>
      <c r="I41" s="34" t="s">
        <v>11</v>
      </c>
      <c r="J41" s="9"/>
    </row>
    <row r="42" spans="1:10">
      <c r="A42" s="39">
        <v>41</v>
      </c>
      <c r="B42" s="33">
        <v>44949</v>
      </c>
      <c r="C42" s="40">
        <v>2108</v>
      </c>
      <c r="D42" s="9" t="s">
        <v>57</v>
      </c>
      <c r="E42" s="34">
        <v>4</v>
      </c>
      <c r="F42" s="35" t="str">
        <f>IFERROR(LOOKUP(E42,CODIGOS!A:A,CODIGOS!B:B)," ")</f>
        <v>DEVOLUCION</v>
      </c>
      <c r="G42" s="9"/>
      <c r="H42" s="36">
        <v>15</v>
      </c>
      <c r="I42" s="34" t="s">
        <v>11</v>
      </c>
      <c r="J42" s="9"/>
    </row>
    <row r="43" spans="1:10">
      <c r="A43" s="39">
        <v>42</v>
      </c>
      <c r="B43" s="33">
        <v>44949</v>
      </c>
      <c r="C43" s="40">
        <v>2109</v>
      </c>
      <c r="D43" s="9" t="s">
        <v>58</v>
      </c>
      <c r="E43" s="34">
        <v>4</v>
      </c>
      <c r="F43" s="35" t="str">
        <f>IFERROR(LOOKUP(E43,CODIGOS!A:A,CODIGOS!B:B)," ")</f>
        <v>DEVOLUCION</v>
      </c>
      <c r="G43" s="9"/>
      <c r="H43" s="36">
        <v>15</v>
      </c>
      <c r="I43" s="34" t="s">
        <v>11</v>
      </c>
      <c r="J43" s="9"/>
    </row>
    <row r="44" spans="1:10">
      <c r="A44" s="39">
        <v>43</v>
      </c>
      <c r="B44" s="33">
        <v>44949</v>
      </c>
      <c r="C44" s="40">
        <v>2610</v>
      </c>
      <c r="D44" s="9" t="s">
        <v>59</v>
      </c>
      <c r="E44" s="34">
        <v>4</v>
      </c>
      <c r="F44" s="35" t="str">
        <f>IFERROR(LOOKUP(E44,CODIGOS!A:A,CODIGOS!B:B)," ")</f>
        <v>DEVOLUCION</v>
      </c>
      <c r="G44" s="9"/>
      <c r="H44" s="36">
        <v>15</v>
      </c>
      <c r="I44" s="34" t="s">
        <v>11</v>
      </c>
      <c r="J44" s="9"/>
    </row>
    <row r="45" spans="1:10">
      <c r="A45" s="39">
        <v>44</v>
      </c>
      <c r="B45" s="33">
        <v>44949</v>
      </c>
      <c r="C45" s="40">
        <v>2527</v>
      </c>
      <c r="D45" s="9" t="s">
        <v>60</v>
      </c>
      <c r="E45" s="34">
        <v>4</v>
      </c>
      <c r="F45" s="35" t="str">
        <f>IFERROR(LOOKUP(E45,CODIGOS!A:A,CODIGOS!B:B)," ")</f>
        <v>DEVOLUCION</v>
      </c>
      <c r="G45" s="9"/>
      <c r="H45" s="36">
        <v>15</v>
      </c>
      <c r="I45" s="34" t="s">
        <v>11</v>
      </c>
      <c r="J45" s="9"/>
    </row>
    <row r="46" spans="1:10">
      <c r="A46" s="39">
        <v>45</v>
      </c>
      <c r="B46" s="33">
        <v>44949</v>
      </c>
      <c r="C46" s="40">
        <v>2612</v>
      </c>
      <c r="D46" s="9" t="s">
        <v>61</v>
      </c>
      <c r="E46" s="34">
        <v>4</v>
      </c>
      <c r="F46" s="35" t="str">
        <f>IFERROR(LOOKUP(E46,CODIGOS!A:A,CODIGOS!B:B)," ")</f>
        <v>DEVOLUCION</v>
      </c>
      <c r="G46" s="9"/>
      <c r="H46" s="36">
        <v>15</v>
      </c>
      <c r="I46" s="34" t="s">
        <v>11</v>
      </c>
      <c r="J46" s="9"/>
    </row>
    <row r="47" spans="1:10">
      <c r="A47" s="39">
        <v>46</v>
      </c>
      <c r="B47" s="33">
        <v>44949</v>
      </c>
      <c r="C47" s="9">
        <v>1913</v>
      </c>
      <c r="D47" s="9" t="s">
        <v>62</v>
      </c>
      <c r="E47" s="34">
        <v>4</v>
      </c>
      <c r="F47" s="35" t="str">
        <f>IFERROR(LOOKUP(E47,CODIGOS!A:A,CODIGOS!B:B)," ")</f>
        <v>DEVOLUCION</v>
      </c>
      <c r="G47" s="9"/>
      <c r="H47" s="36">
        <v>15</v>
      </c>
      <c r="I47" s="34" t="s">
        <v>11</v>
      </c>
      <c r="J47" s="9"/>
    </row>
    <row r="48" spans="1:10">
      <c r="A48" s="39">
        <v>47</v>
      </c>
      <c r="B48" s="33">
        <v>44949</v>
      </c>
      <c r="C48" s="9">
        <v>738</v>
      </c>
      <c r="D48" s="9" t="s">
        <v>63</v>
      </c>
      <c r="E48" s="34">
        <v>4</v>
      </c>
      <c r="F48" s="35" t="str">
        <f>IFERROR(LOOKUP(E48,CODIGOS!A:A,CODIGOS!B:B)," ")</f>
        <v>DEVOLUCION</v>
      </c>
      <c r="G48" s="9"/>
      <c r="H48" s="36">
        <v>15</v>
      </c>
      <c r="I48" s="34" t="s">
        <v>11</v>
      </c>
      <c r="J48" s="9"/>
    </row>
    <row r="49" spans="1:10">
      <c r="A49" s="39">
        <v>48</v>
      </c>
      <c r="B49" s="33">
        <v>44949</v>
      </c>
      <c r="C49" s="9">
        <v>2636</v>
      </c>
      <c r="D49" s="9" t="s">
        <v>64</v>
      </c>
      <c r="E49" s="34">
        <v>4</v>
      </c>
      <c r="F49" s="35" t="str">
        <f>IFERROR(LOOKUP(E49,CODIGOS!A:A,CODIGOS!B:B)," ")</f>
        <v>DEVOLUCION</v>
      </c>
      <c r="G49" s="9"/>
      <c r="H49" s="36">
        <v>15</v>
      </c>
      <c r="I49" s="34" t="s">
        <v>11</v>
      </c>
      <c r="J49" s="9"/>
    </row>
    <row r="50" spans="1:10">
      <c r="A50" s="39">
        <v>49</v>
      </c>
      <c r="B50" s="33">
        <v>44949</v>
      </c>
      <c r="C50" s="9">
        <v>2484</v>
      </c>
      <c r="D50" s="9" t="s">
        <v>65</v>
      </c>
      <c r="E50" s="34">
        <v>4</v>
      </c>
      <c r="F50" s="35" t="str">
        <f>IFERROR(LOOKUP(E50,CODIGOS!A:A,CODIGOS!B:B)," ")</f>
        <v>DEVOLUCION</v>
      </c>
      <c r="G50" s="9"/>
      <c r="H50" s="36">
        <v>15</v>
      </c>
      <c r="I50" s="34" t="s">
        <v>11</v>
      </c>
      <c r="J50" s="9"/>
    </row>
    <row r="51" spans="1:10">
      <c r="A51" s="39">
        <v>50</v>
      </c>
      <c r="B51" s="33">
        <v>44949</v>
      </c>
      <c r="C51" s="9">
        <v>1397</v>
      </c>
      <c r="D51" s="9" t="s">
        <v>66</v>
      </c>
      <c r="E51" s="34">
        <v>4</v>
      </c>
      <c r="F51" s="35" t="str">
        <f>IFERROR(LOOKUP(E51,CODIGOS!A:A,CODIGOS!B:B)," ")</f>
        <v>DEVOLUCION</v>
      </c>
      <c r="G51" s="9"/>
      <c r="H51" s="36">
        <v>15</v>
      </c>
      <c r="I51" s="34" t="s">
        <v>11</v>
      </c>
      <c r="J51" s="9"/>
    </row>
    <row r="52" spans="1:10">
      <c r="A52" s="39">
        <v>51</v>
      </c>
      <c r="B52" s="33">
        <v>44949</v>
      </c>
      <c r="C52" s="9">
        <v>2717</v>
      </c>
      <c r="D52" s="9" t="s">
        <v>67</v>
      </c>
      <c r="E52" s="34">
        <v>55</v>
      </c>
      <c r="F52" s="35">
        <f>IFERROR(LOOKUP(E52,CODIGOS!A:A,CODIGOS!B:B)," ")</f>
        <v>0</v>
      </c>
      <c r="G52" s="9"/>
      <c r="H52" s="36">
        <v>25</v>
      </c>
      <c r="I52" s="34" t="s">
        <v>11</v>
      </c>
      <c r="J52" s="9"/>
    </row>
    <row r="53" spans="1:10">
      <c r="A53" s="39">
        <v>52</v>
      </c>
      <c r="B53" s="33">
        <v>44949</v>
      </c>
      <c r="C53" s="9">
        <v>2500</v>
      </c>
      <c r="D53" s="9" t="s">
        <v>68</v>
      </c>
      <c r="E53" s="34">
        <v>4</v>
      </c>
      <c r="F53" s="35" t="str">
        <f>IFERROR(LOOKUP(E53,CODIGOS!A:A,CODIGOS!B:B)," ")</f>
        <v>DEVOLUCION</v>
      </c>
      <c r="G53" s="9"/>
      <c r="H53" s="36">
        <v>15</v>
      </c>
      <c r="I53" s="34" t="s">
        <v>11</v>
      </c>
      <c r="J53" s="9"/>
    </row>
    <row r="54" spans="1:10">
      <c r="A54" s="39">
        <v>53</v>
      </c>
      <c r="B54" s="33">
        <v>44949</v>
      </c>
      <c r="C54" s="9">
        <v>2407</v>
      </c>
      <c r="D54" s="9" t="s">
        <v>69</v>
      </c>
      <c r="E54" s="34">
        <v>4</v>
      </c>
      <c r="F54" s="35" t="str">
        <f>IFERROR(LOOKUP(E54,CODIGOS!A:A,CODIGOS!B:B)," ")</f>
        <v>DEVOLUCION</v>
      </c>
      <c r="G54" s="9"/>
      <c r="H54" s="36">
        <v>15</v>
      </c>
      <c r="I54" s="34" t="s">
        <v>11</v>
      </c>
      <c r="J54" s="9"/>
    </row>
    <row r="55" spans="1:10">
      <c r="A55" s="39">
        <v>54</v>
      </c>
      <c r="B55" s="33">
        <v>44949</v>
      </c>
      <c r="C55" s="9">
        <v>2411</v>
      </c>
      <c r="D55" s="9" t="s">
        <v>70</v>
      </c>
      <c r="E55" s="34">
        <v>4</v>
      </c>
      <c r="F55" s="35" t="str">
        <f>IFERROR(LOOKUP(E55,CODIGOS!A:A,CODIGOS!B:B)," ")</f>
        <v>DEVOLUCION</v>
      </c>
      <c r="G55" s="9"/>
      <c r="H55" s="36">
        <v>15</v>
      </c>
      <c r="I55" s="34" t="s">
        <v>11</v>
      </c>
      <c r="J55" s="9"/>
    </row>
    <row r="56" spans="1:10">
      <c r="A56" s="39">
        <v>55</v>
      </c>
      <c r="B56" s="33">
        <v>44950</v>
      </c>
      <c r="C56" s="40">
        <v>2718</v>
      </c>
      <c r="D56" s="9" t="s">
        <v>71</v>
      </c>
      <c r="E56" s="34">
        <v>55</v>
      </c>
      <c r="F56" s="35">
        <f>IFERROR(LOOKUP(E56,CODIGOS!A:A,CODIGOS!B:B)," ")</f>
        <v>0</v>
      </c>
      <c r="G56" s="9"/>
      <c r="H56" s="36">
        <v>25</v>
      </c>
      <c r="I56" s="34" t="s">
        <v>72</v>
      </c>
      <c r="J56" s="9"/>
    </row>
    <row r="57" spans="1:10">
      <c r="A57" s="39">
        <v>56</v>
      </c>
      <c r="B57" s="33">
        <v>44951</v>
      </c>
      <c r="C57" s="40" t="s">
        <v>73</v>
      </c>
      <c r="D57" s="9" t="s">
        <v>74</v>
      </c>
      <c r="E57" s="34">
        <v>2</v>
      </c>
      <c r="F57" s="35" t="str">
        <f>IFERROR(LOOKUP(E57,CODIGOS!A:A,CODIGOS!B:B)," ")</f>
        <v>CUOTA NUEVO SOCIO</v>
      </c>
      <c r="G57" s="9"/>
      <c r="H57" s="36">
        <v>5</v>
      </c>
      <c r="I57" s="34" t="s">
        <v>20</v>
      </c>
      <c r="J57" s="9"/>
    </row>
    <row r="58" spans="1:10">
      <c r="A58" s="39">
        <v>57</v>
      </c>
      <c r="B58" s="33">
        <v>44956</v>
      </c>
      <c r="C58" s="9">
        <v>2581</v>
      </c>
      <c r="D58" s="9" t="s">
        <v>75</v>
      </c>
      <c r="E58" s="34">
        <v>5</v>
      </c>
      <c r="F58" s="35">
        <f>IFERROR(LOOKUP(E58,CODIGOS!A:A,CODIGOS!B:B)," ")</f>
        <v>0</v>
      </c>
      <c r="G58" s="9"/>
      <c r="H58" s="36">
        <v>15</v>
      </c>
      <c r="I58" s="34" t="s">
        <v>11</v>
      </c>
      <c r="J58" s="9"/>
    </row>
    <row r="59" spans="1:10">
      <c r="A59" s="39">
        <v>58</v>
      </c>
      <c r="B59" s="33">
        <v>44956</v>
      </c>
      <c r="C59" s="9">
        <v>2575</v>
      </c>
      <c r="D59" s="9" t="s">
        <v>76</v>
      </c>
      <c r="E59" s="34">
        <v>5</v>
      </c>
      <c r="F59" s="35">
        <f>IFERROR(LOOKUP(E59,CODIGOS!A:A,CODIGOS!B:B)," ")</f>
        <v>0</v>
      </c>
      <c r="G59" s="9"/>
      <c r="H59" s="36">
        <v>15</v>
      </c>
      <c r="I59" s="34" t="s">
        <v>11</v>
      </c>
      <c r="J59" s="9"/>
    </row>
    <row r="60" spans="1:10">
      <c r="A60" s="39">
        <v>59</v>
      </c>
      <c r="B60" s="33">
        <v>44956</v>
      </c>
      <c r="C60" s="9">
        <v>1897</v>
      </c>
      <c r="D60" s="9" t="s">
        <v>77</v>
      </c>
      <c r="E60" s="34">
        <v>5</v>
      </c>
      <c r="F60" s="35">
        <f>IFERROR(LOOKUP(E60,CODIGOS!A:A,CODIGOS!B:B)," ")</f>
        <v>0</v>
      </c>
      <c r="G60" s="9"/>
      <c r="H60" s="36">
        <v>15</v>
      </c>
      <c r="I60" s="34" t="s">
        <v>11</v>
      </c>
      <c r="J60" s="9"/>
    </row>
    <row r="61" spans="1:10">
      <c r="A61" s="39">
        <v>60</v>
      </c>
      <c r="B61" s="33">
        <v>44956</v>
      </c>
      <c r="C61" s="9">
        <v>1898</v>
      </c>
      <c r="D61" s="9" t="s">
        <v>78</v>
      </c>
      <c r="E61" s="34">
        <v>5</v>
      </c>
      <c r="F61" s="35">
        <f>IFERROR(LOOKUP(E61,CODIGOS!A:A,CODIGOS!B:B)," ")</f>
        <v>0</v>
      </c>
      <c r="G61" s="9"/>
      <c r="H61" s="36">
        <v>15</v>
      </c>
      <c r="I61" s="34" t="s">
        <v>11</v>
      </c>
      <c r="J61" s="9"/>
    </row>
    <row r="62" spans="1:10">
      <c r="A62" s="39">
        <v>61</v>
      </c>
      <c r="B62" s="33">
        <v>44956</v>
      </c>
      <c r="C62" s="9">
        <v>2567</v>
      </c>
      <c r="D62" s="9" t="s">
        <v>79</v>
      </c>
      <c r="E62" s="34">
        <v>5</v>
      </c>
      <c r="F62" s="35">
        <f>IFERROR(LOOKUP(E62,CODIGOS!A:A,CODIGOS!B:B)," ")</f>
        <v>0</v>
      </c>
      <c r="G62" s="9"/>
      <c r="H62" s="36">
        <v>15</v>
      </c>
      <c r="I62" s="34" t="s">
        <v>11</v>
      </c>
      <c r="J62" s="9"/>
    </row>
    <row r="63" spans="1:10">
      <c r="A63" s="39">
        <v>62</v>
      </c>
      <c r="B63" s="33">
        <v>44956</v>
      </c>
      <c r="C63" s="9">
        <v>2568</v>
      </c>
      <c r="D63" s="9" t="s">
        <v>80</v>
      </c>
      <c r="E63" s="34">
        <v>5</v>
      </c>
      <c r="F63" s="35">
        <f>IFERROR(LOOKUP(E63,CODIGOS!A:A,CODIGOS!B:B)," ")</f>
        <v>0</v>
      </c>
      <c r="G63" s="9"/>
      <c r="H63" s="36">
        <v>15</v>
      </c>
      <c r="I63" s="34" t="s">
        <v>11</v>
      </c>
      <c r="J63" s="9"/>
    </row>
    <row r="64" spans="1:10">
      <c r="A64" s="39">
        <v>63</v>
      </c>
      <c r="B64" s="33">
        <v>44956</v>
      </c>
      <c r="C64" s="9">
        <v>2616</v>
      </c>
      <c r="D64" s="9" t="s">
        <v>81</v>
      </c>
      <c r="E64" s="34">
        <v>5</v>
      </c>
      <c r="F64" s="35">
        <f>IFERROR(LOOKUP(E64,CODIGOS!A:A,CODIGOS!B:B)," ")</f>
        <v>0</v>
      </c>
      <c r="G64" s="9"/>
      <c r="H64" s="36">
        <v>15</v>
      </c>
      <c r="I64" s="34" t="s">
        <v>11</v>
      </c>
      <c r="J64" s="9"/>
    </row>
    <row r="65" spans="1:10">
      <c r="A65" s="39">
        <v>64</v>
      </c>
      <c r="B65" s="33">
        <v>44956</v>
      </c>
      <c r="C65" s="9" t="s">
        <v>82</v>
      </c>
      <c r="D65" s="9" t="s">
        <v>83</v>
      </c>
      <c r="E65" s="34">
        <v>5</v>
      </c>
      <c r="F65" s="35">
        <f>IFERROR(LOOKUP(E65,CODIGOS!A:A,CODIGOS!B:B)," ")</f>
        <v>0</v>
      </c>
      <c r="G65" s="9"/>
      <c r="H65" s="36">
        <v>20</v>
      </c>
      <c r="I65" s="34" t="s">
        <v>84</v>
      </c>
      <c r="J65" s="9"/>
    </row>
    <row r="66" spans="1:10">
      <c r="A66" s="39">
        <v>65</v>
      </c>
      <c r="B66" s="33">
        <v>44956</v>
      </c>
      <c r="C66" s="9">
        <v>2667</v>
      </c>
      <c r="D66" s="9" t="s">
        <v>85</v>
      </c>
      <c r="E66" s="34">
        <v>5</v>
      </c>
      <c r="F66" s="35">
        <f>IFERROR(LOOKUP(E66,CODIGOS!A:A,CODIGOS!B:B)," ")</f>
        <v>0</v>
      </c>
      <c r="G66" s="9"/>
      <c r="H66" s="36">
        <v>15</v>
      </c>
      <c r="I66" s="34" t="s">
        <v>20</v>
      </c>
      <c r="J66" s="9"/>
    </row>
    <row r="67" spans="1:10">
      <c r="A67" s="39">
        <v>66</v>
      </c>
      <c r="B67" s="33">
        <v>44956</v>
      </c>
      <c r="C67" s="9" t="s">
        <v>86</v>
      </c>
      <c r="D67" s="9" t="s">
        <v>87</v>
      </c>
      <c r="E67" s="34">
        <v>5</v>
      </c>
      <c r="F67" s="35">
        <f>IFERROR(LOOKUP(E67,CODIGOS!A:A,CODIGOS!B:B)," ")</f>
        <v>0</v>
      </c>
      <c r="G67" s="9"/>
      <c r="H67" s="36">
        <v>20</v>
      </c>
      <c r="I67" s="34" t="s">
        <v>20</v>
      </c>
      <c r="J67" s="9"/>
    </row>
    <row r="68" spans="1:10">
      <c r="A68" s="39">
        <v>67</v>
      </c>
      <c r="B68" s="33">
        <v>44956</v>
      </c>
      <c r="C68" s="9">
        <v>2719</v>
      </c>
      <c r="D68" s="9" t="s">
        <v>88</v>
      </c>
      <c r="E68" s="34">
        <v>55</v>
      </c>
      <c r="F68" s="35">
        <f>IFERROR(LOOKUP(E68,CODIGOS!A:A,CODIGOS!B:B)," ")</f>
        <v>0</v>
      </c>
      <c r="G68" s="9"/>
      <c r="H68" s="36">
        <v>25</v>
      </c>
      <c r="I68" s="34" t="s">
        <v>20</v>
      </c>
      <c r="J68" s="9"/>
    </row>
    <row r="69" spans="1:10">
      <c r="A69" s="39">
        <v>68</v>
      </c>
      <c r="B69" s="33">
        <v>44956</v>
      </c>
      <c r="C69" s="9">
        <v>2663</v>
      </c>
      <c r="D69" s="9" t="s">
        <v>89</v>
      </c>
      <c r="E69" s="34">
        <v>5</v>
      </c>
      <c r="F69" s="35">
        <f>IFERROR(LOOKUP(E69,CODIGOS!A:A,CODIGOS!B:B)," ")</f>
        <v>0</v>
      </c>
      <c r="G69" s="9"/>
      <c r="H69" s="36">
        <v>15</v>
      </c>
      <c r="I69" s="34" t="s">
        <v>11</v>
      </c>
      <c r="J69" s="9"/>
    </row>
    <row r="70" spans="1:10">
      <c r="A70" s="39">
        <v>69</v>
      </c>
      <c r="B70" s="33">
        <v>44956</v>
      </c>
      <c r="C70" s="9">
        <v>2004</v>
      </c>
      <c r="D70" s="9" t="s">
        <v>13</v>
      </c>
      <c r="E70" s="34">
        <v>5</v>
      </c>
      <c r="F70" s="35">
        <f>IFERROR(LOOKUP(E70,CODIGOS!A:A,CODIGOS!B:B)," ")</f>
        <v>0</v>
      </c>
      <c r="G70" s="9"/>
      <c r="H70" s="36">
        <v>15</v>
      </c>
      <c r="I70" s="34" t="s">
        <v>11</v>
      </c>
      <c r="J70" s="9"/>
    </row>
    <row r="71" spans="1:10">
      <c r="A71" s="39">
        <v>70</v>
      </c>
      <c r="B71" s="33">
        <v>44956</v>
      </c>
      <c r="C71" s="9">
        <v>2003</v>
      </c>
      <c r="D71" s="9" t="s">
        <v>10</v>
      </c>
      <c r="E71" s="34">
        <v>5</v>
      </c>
      <c r="F71" s="35">
        <f>IFERROR(LOOKUP(E71,CODIGOS!A:A,CODIGOS!B:B)," ")</f>
        <v>0</v>
      </c>
      <c r="G71" s="9"/>
      <c r="H71" s="36">
        <v>15</v>
      </c>
      <c r="I71" s="34" t="s">
        <v>11</v>
      </c>
      <c r="J71" s="9"/>
    </row>
    <row r="72" spans="1:10">
      <c r="A72" s="39">
        <v>71</v>
      </c>
      <c r="B72" s="33">
        <v>44957</v>
      </c>
      <c r="C72" s="40">
        <v>2416</v>
      </c>
      <c r="D72" s="9" t="s">
        <v>90</v>
      </c>
      <c r="E72" s="34">
        <v>5</v>
      </c>
      <c r="F72" s="35">
        <f>IFERROR(LOOKUP(E72,CODIGOS!A:A,CODIGOS!B:B)," ")</f>
        <v>0</v>
      </c>
      <c r="G72" s="9"/>
      <c r="H72" s="36">
        <v>15</v>
      </c>
      <c r="I72" s="34"/>
      <c r="J72" s="9"/>
    </row>
    <row r="73" spans="1:10">
      <c r="A73" s="39">
        <v>72</v>
      </c>
      <c r="B73" s="33">
        <v>44957</v>
      </c>
      <c r="C73" s="40" t="s">
        <v>91</v>
      </c>
      <c r="D73" s="9" t="s">
        <v>92</v>
      </c>
      <c r="E73" s="34">
        <v>5</v>
      </c>
      <c r="F73" s="35">
        <f>IFERROR(LOOKUP(E73,CODIGOS!A:A,CODIGOS!B:B)," ")</f>
        <v>0</v>
      </c>
      <c r="G73" s="9"/>
      <c r="H73" s="36">
        <v>20</v>
      </c>
      <c r="I73" s="34"/>
      <c r="J73" s="9"/>
    </row>
    <row r="74" spans="1:10">
      <c r="A74" s="39">
        <v>73</v>
      </c>
      <c r="B74" s="33">
        <v>44957</v>
      </c>
      <c r="C74" s="40">
        <v>2015</v>
      </c>
      <c r="D74" s="9" t="s">
        <v>93</v>
      </c>
      <c r="E74" s="34">
        <v>55</v>
      </c>
      <c r="F74" s="35">
        <f>IFERROR(LOOKUP(E74,CODIGOS!A:A,CODIGOS!B:B)," ")</f>
        <v>0</v>
      </c>
      <c r="G74" s="9"/>
      <c r="H74" s="36">
        <v>25</v>
      </c>
      <c r="I74" s="34"/>
      <c r="J74" s="9"/>
    </row>
    <row r="75" spans="1:10">
      <c r="A75" s="39">
        <v>74</v>
      </c>
      <c r="B75" s="33">
        <v>44957</v>
      </c>
      <c r="C75" s="40">
        <v>2136</v>
      </c>
      <c r="D75" s="9" t="s">
        <v>94</v>
      </c>
      <c r="E75" s="34">
        <v>55</v>
      </c>
      <c r="F75" s="35">
        <f>IFERROR(LOOKUP(E75,CODIGOS!A:A,CODIGOS!B:B)," ")</f>
        <v>0</v>
      </c>
      <c r="G75" s="9"/>
      <c r="H75" s="36">
        <v>25</v>
      </c>
      <c r="I75" s="34"/>
      <c r="J75" s="9"/>
    </row>
    <row r="76" spans="1:10">
      <c r="A76" s="39">
        <v>75</v>
      </c>
      <c r="B76" s="33">
        <v>44957</v>
      </c>
      <c r="C76" s="40">
        <v>2015</v>
      </c>
      <c r="D76" s="9" t="s">
        <v>93</v>
      </c>
      <c r="E76" s="34">
        <v>5</v>
      </c>
      <c r="F76" s="35">
        <f>IFERROR(LOOKUP(E76,CODIGOS!A:A,CODIGOS!B:B)," ")</f>
        <v>0</v>
      </c>
      <c r="G76" s="9"/>
      <c r="H76" s="36">
        <v>15</v>
      </c>
      <c r="I76" s="34"/>
      <c r="J76" s="9"/>
    </row>
    <row r="77" spans="1:10">
      <c r="A77" s="39">
        <v>76</v>
      </c>
      <c r="B77" s="33">
        <v>44957</v>
      </c>
      <c r="C77" s="9">
        <v>2136</v>
      </c>
      <c r="D77" s="9" t="s">
        <v>94</v>
      </c>
      <c r="E77" s="34">
        <v>5</v>
      </c>
      <c r="F77" s="35">
        <f>IFERROR(LOOKUP(E77,CODIGOS!A:A,CODIGOS!B:B)," ")</f>
        <v>0</v>
      </c>
      <c r="G77" s="9"/>
      <c r="H77" s="36">
        <v>15</v>
      </c>
      <c r="I77" s="34"/>
      <c r="J77" s="9"/>
    </row>
    <row r="78" spans="1:10">
      <c r="A78" s="39">
        <v>77</v>
      </c>
      <c r="B78" s="33">
        <v>44957</v>
      </c>
      <c r="C78" s="9">
        <v>2456</v>
      </c>
      <c r="D78" s="9" t="s">
        <v>40</v>
      </c>
      <c r="E78" s="34">
        <v>5</v>
      </c>
      <c r="F78" s="35">
        <f>IFERROR(LOOKUP(E78,CODIGOS!A:A,CODIGOS!B:B)," ")</f>
        <v>0</v>
      </c>
      <c r="G78" s="9"/>
      <c r="H78" s="36">
        <v>15</v>
      </c>
      <c r="I78" s="34"/>
      <c r="J78" s="9"/>
    </row>
    <row r="79" spans="1:10">
      <c r="A79" s="39">
        <v>78</v>
      </c>
      <c r="B79" s="33">
        <v>44957</v>
      </c>
      <c r="C79" s="9">
        <v>2414</v>
      </c>
      <c r="D79" s="9" t="s">
        <v>39</v>
      </c>
      <c r="E79" s="34">
        <v>5</v>
      </c>
      <c r="F79" s="35">
        <f>IFERROR(LOOKUP(E79,CODIGOS!A:A,CODIGOS!B:B)," ")</f>
        <v>0</v>
      </c>
      <c r="G79" s="9"/>
      <c r="H79" s="36">
        <v>15</v>
      </c>
      <c r="I79" s="34"/>
      <c r="J79" s="9"/>
    </row>
    <row r="80" spans="1:10">
      <c r="A80" s="39">
        <v>79</v>
      </c>
      <c r="B80" s="33">
        <v>44957</v>
      </c>
      <c r="C80" s="9">
        <v>2679</v>
      </c>
      <c r="D80" s="9" t="s">
        <v>95</v>
      </c>
      <c r="E80" s="34">
        <v>5</v>
      </c>
      <c r="F80" s="35">
        <f>IFERROR(LOOKUP(E80,CODIGOS!A:A,CODIGOS!B:B)," ")</f>
        <v>0</v>
      </c>
      <c r="G80" s="9"/>
      <c r="H80" s="36">
        <v>15</v>
      </c>
      <c r="I80" s="34"/>
      <c r="J80" s="9"/>
    </row>
    <row r="81" spans="1:10">
      <c r="A81" s="39">
        <v>80</v>
      </c>
      <c r="B81" s="33">
        <v>44957</v>
      </c>
      <c r="C81" s="9">
        <v>2576</v>
      </c>
      <c r="D81" s="9" t="s">
        <v>96</v>
      </c>
      <c r="E81" s="34">
        <v>4</v>
      </c>
      <c r="F81" s="35" t="str">
        <f>IFERROR(LOOKUP(E81,CODIGOS!A:A,CODIGOS!B:B)," ")</f>
        <v>DEVOLUCION</v>
      </c>
      <c r="G81" s="9"/>
      <c r="H81" s="36">
        <v>15</v>
      </c>
      <c r="I81" s="34"/>
      <c r="J81" s="9"/>
    </row>
    <row r="82" spans="1:10">
      <c r="A82" s="39">
        <v>81</v>
      </c>
      <c r="B82" s="33">
        <v>44957</v>
      </c>
      <c r="C82" s="40">
        <v>1920</v>
      </c>
      <c r="D82" s="9" t="s">
        <v>48</v>
      </c>
      <c r="E82" s="34">
        <v>4</v>
      </c>
      <c r="F82" s="35" t="str">
        <f>IFERROR(LOOKUP(E82,CODIGOS!A:A,CODIGOS!B:B)," ")</f>
        <v>DEVOLUCION</v>
      </c>
      <c r="G82" s="9"/>
      <c r="H82" s="36">
        <v>15</v>
      </c>
      <c r="I82" s="34" t="s">
        <v>11</v>
      </c>
      <c r="J82" s="9"/>
    </row>
    <row r="83" spans="1:10">
      <c r="A83" s="39">
        <v>82</v>
      </c>
      <c r="B83" s="33">
        <v>44957</v>
      </c>
      <c r="C83" s="40">
        <v>2563</v>
      </c>
      <c r="D83" s="9" t="s">
        <v>49</v>
      </c>
      <c r="E83" s="34">
        <v>4</v>
      </c>
      <c r="F83" s="35" t="str">
        <f>IFERROR(LOOKUP(E83,CODIGOS!A:A,CODIGOS!B:B)," ")</f>
        <v>DEVOLUCION</v>
      </c>
      <c r="G83" s="9"/>
      <c r="H83" s="36">
        <v>15</v>
      </c>
      <c r="I83" s="34" t="s">
        <v>11</v>
      </c>
      <c r="J83" s="9"/>
    </row>
    <row r="84" spans="1:10">
      <c r="A84" s="39">
        <v>83</v>
      </c>
      <c r="B84" s="33">
        <v>44957</v>
      </c>
      <c r="C84" s="40" t="s">
        <v>46</v>
      </c>
      <c r="D84" s="9" t="s">
        <v>50</v>
      </c>
      <c r="E84" s="34">
        <v>4</v>
      </c>
      <c r="F84" s="35" t="str">
        <f>IFERROR(LOOKUP(E84,CODIGOS!A:A,CODIGOS!B:B)," ")</f>
        <v>DEVOLUCION</v>
      </c>
      <c r="G84" s="9"/>
      <c r="H84" s="36">
        <v>15</v>
      </c>
      <c r="I84" s="34" t="s">
        <v>20</v>
      </c>
      <c r="J84" s="9"/>
    </row>
    <row r="85" spans="1:10">
      <c r="A85" s="39">
        <v>84</v>
      </c>
      <c r="B85" s="33">
        <v>44957</v>
      </c>
      <c r="C85" s="40">
        <v>269</v>
      </c>
      <c r="D85" s="9" t="s">
        <v>51</v>
      </c>
      <c r="E85" s="34">
        <v>5</v>
      </c>
      <c r="F85" s="35">
        <f>IFERROR(LOOKUP(E85,CODIGOS!A:A,CODIGOS!B:B)," ")</f>
        <v>0</v>
      </c>
      <c r="G85" s="9"/>
      <c r="H85" s="36">
        <v>15</v>
      </c>
      <c r="I85" s="34" t="s">
        <v>11</v>
      </c>
      <c r="J85" s="9"/>
    </row>
    <row r="86" spans="1:10">
      <c r="A86" s="39">
        <v>85</v>
      </c>
      <c r="B86" s="33">
        <v>44957</v>
      </c>
      <c r="C86" s="40" t="s">
        <v>52</v>
      </c>
      <c r="D86" s="9" t="s">
        <v>53</v>
      </c>
      <c r="E86" s="34">
        <v>5</v>
      </c>
      <c r="F86" s="35">
        <f>IFERROR(LOOKUP(E86,CODIGOS!A:A,CODIGOS!B:B)," ")</f>
        <v>0</v>
      </c>
      <c r="G86" s="9"/>
      <c r="H86" s="36">
        <v>20</v>
      </c>
      <c r="I86" s="34" t="s">
        <v>20</v>
      </c>
      <c r="J86" s="9"/>
    </row>
    <row r="87" spans="1:10">
      <c r="A87" s="39">
        <v>86</v>
      </c>
      <c r="B87" s="33">
        <v>44957</v>
      </c>
      <c r="C87" s="9">
        <v>2632</v>
      </c>
      <c r="D87" s="9" t="s">
        <v>54</v>
      </c>
      <c r="E87" s="34">
        <v>5</v>
      </c>
      <c r="F87" s="35">
        <f>IFERROR(LOOKUP(E87,CODIGOS!A:A,CODIGOS!B:B)," ")</f>
        <v>0</v>
      </c>
      <c r="G87" s="9"/>
      <c r="H87" s="36">
        <v>15</v>
      </c>
      <c r="I87" s="34" t="s">
        <v>11</v>
      </c>
      <c r="J87" s="9"/>
    </row>
    <row r="88" spans="1:10">
      <c r="A88" s="39">
        <v>87</v>
      </c>
      <c r="B88" s="33">
        <v>44957</v>
      </c>
      <c r="C88" s="9">
        <v>2553</v>
      </c>
      <c r="D88" s="9" t="s">
        <v>55</v>
      </c>
      <c r="E88" s="34">
        <v>5</v>
      </c>
      <c r="F88" s="35">
        <f>IFERROR(LOOKUP(E88,CODIGOS!A:A,CODIGOS!B:B)," ")</f>
        <v>0</v>
      </c>
      <c r="G88" s="9"/>
      <c r="H88" s="36">
        <v>15</v>
      </c>
      <c r="I88" s="34" t="s">
        <v>11</v>
      </c>
      <c r="J88" s="9"/>
    </row>
    <row r="89" spans="1:10">
      <c r="A89" s="39">
        <v>88</v>
      </c>
      <c r="B89" s="33">
        <v>44957</v>
      </c>
      <c r="C89" s="9">
        <v>2720</v>
      </c>
      <c r="D89" s="9" t="s">
        <v>56</v>
      </c>
      <c r="E89" s="34">
        <v>55</v>
      </c>
      <c r="F89" s="35">
        <f>IFERROR(LOOKUP(E89,CODIGOS!A:A,CODIGOS!B:B)," ")</f>
        <v>0</v>
      </c>
      <c r="G89" s="9"/>
      <c r="H89" s="36">
        <v>25</v>
      </c>
      <c r="I89" s="34" t="s">
        <v>11</v>
      </c>
      <c r="J89" s="9"/>
    </row>
    <row r="90" spans="1:10">
      <c r="A90" s="39">
        <v>89</v>
      </c>
      <c r="B90" s="33">
        <v>44963</v>
      </c>
      <c r="C90" s="40">
        <v>2403</v>
      </c>
      <c r="D90" s="9" t="s">
        <v>97</v>
      </c>
      <c r="E90" s="34">
        <v>5</v>
      </c>
      <c r="F90" s="35">
        <f>IFERROR(LOOKUP(E90,CODIGOS!A:A,CODIGOS!B:B)," ")</f>
        <v>0</v>
      </c>
      <c r="G90" s="9"/>
      <c r="H90" s="36">
        <v>15</v>
      </c>
      <c r="I90" s="34" t="s">
        <v>11</v>
      </c>
      <c r="J90" s="9"/>
    </row>
    <row r="91" spans="1:10">
      <c r="A91" s="39">
        <v>90</v>
      </c>
      <c r="B91" s="33">
        <v>44963</v>
      </c>
      <c r="C91" s="40">
        <v>2374</v>
      </c>
      <c r="D91" s="9" t="s">
        <v>98</v>
      </c>
      <c r="E91" s="34">
        <v>5</v>
      </c>
      <c r="F91" s="35">
        <f>IFERROR(LOOKUP(E91,CODIGOS!A:A,CODIGOS!B:B)," ")</f>
        <v>0</v>
      </c>
      <c r="G91" s="9"/>
      <c r="H91" s="36">
        <v>15</v>
      </c>
      <c r="I91" s="34" t="s">
        <v>11</v>
      </c>
      <c r="J91" s="9"/>
    </row>
    <row r="92" spans="1:10">
      <c r="A92" s="39">
        <v>91</v>
      </c>
      <c r="B92" s="33">
        <v>44963</v>
      </c>
      <c r="C92" s="40">
        <v>2581</v>
      </c>
      <c r="D92" s="9" t="s">
        <v>75</v>
      </c>
      <c r="E92" s="34">
        <v>6</v>
      </c>
      <c r="F92" s="35">
        <f>IFERROR(LOOKUP(E92,CODIGOS!A:A,CODIGOS!B:B)," ")</f>
        <v>0</v>
      </c>
      <c r="G92" s="9"/>
      <c r="H92" s="36">
        <v>20</v>
      </c>
      <c r="I92" s="34" t="s">
        <v>11</v>
      </c>
      <c r="J92" s="9"/>
    </row>
    <row r="93" spans="1:10">
      <c r="A93" s="39">
        <v>92</v>
      </c>
      <c r="B93" s="33">
        <v>44963</v>
      </c>
      <c r="C93" s="40">
        <v>1913</v>
      </c>
      <c r="D93" s="9" t="s">
        <v>62</v>
      </c>
      <c r="E93" s="34">
        <v>6</v>
      </c>
      <c r="F93" s="35">
        <f>IFERROR(LOOKUP(E93,CODIGOS!A:A,CODIGOS!B:B)," ")</f>
        <v>0</v>
      </c>
      <c r="G93" s="9"/>
      <c r="H93" s="36">
        <v>20</v>
      </c>
      <c r="I93" s="34" t="s">
        <v>11</v>
      </c>
      <c r="J93" s="9"/>
    </row>
    <row r="94" spans="1:10">
      <c r="A94" s="39">
        <v>93</v>
      </c>
      <c r="B94" s="33">
        <v>44963</v>
      </c>
      <c r="C94" s="40">
        <v>738</v>
      </c>
      <c r="D94" s="9" t="s">
        <v>63</v>
      </c>
      <c r="E94" s="34">
        <v>6</v>
      </c>
      <c r="F94" s="35">
        <f>IFERROR(LOOKUP(E94,CODIGOS!A:A,CODIGOS!B:B)," ")</f>
        <v>0</v>
      </c>
      <c r="G94" s="9"/>
      <c r="H94" s="36">
        <v>20</v>
      </c>
      <c r="I94" s="34" t="s">
        <v>11</v>
      </c>
      <c r="J94" s="9"/>
    </row>
    <row r="95" spans="1:10">
      <c r="A95" s="39">
        <v>94</v>
      </c>
      <c r="B95" s="33">
        <v>44963</v>
      </c>
      <c r="C95" s="9">
        <v>2575</v>
      </c>
      <c r="D95" s="9" t="s">
        <v>99</v>
      </c>
      <c r="E95" s="34">
        <v>6</v>
      </c>
      <c r="F95" s="35">
        <f>IFERROR(LOOKUP(E95,CODIGOS!A:A,CODIGOS!B:B)," ")</f>
        <v>0</v>
      </c>
      <c r="G95" s="9"/>
      <c r="H95" s="36">
        <v>20</v>
      </c>
      <c r="I95" s="34" t="s">
        <v>11</v>
      </c>
      <c r="J95" s="9"/>
    </row>
    <row r="96" spans="1:10">
      <c r="A96" s="39">
        <v>95</v>
      </c>
      <c r="B96" s="33">
        <v>44963</v>
      </c>
      <c r="C96" s="9">
        <v>2571</v>
      </c>
      <c r="D96" s="9" t="s">
        <v>100</v>
      </c>
      <c r="E96" s="34">
        <v>6</v>
      </c>
      <c r="F96" s="35">
        <f>IFERROR(LOOKUP(E96,CODIGOS!A:A,CODIGOS!B:B)," ")</f>
        <v>0</v>
      </c>
      <c r="G96" s="9"/>
      <c r="H96" s="36">
        <v>20</v>
      </c>
      <c r="I96" s="34" t="s">
        <v>11</v>
      </c>
      <c r="J96" s="9"/>
    </row>
    <row r="97" spans="1:10">
      <c r="A97" s="39">
        <v>96</v>
      </c>
      <c r="B97" s="33">
        <v>44963</v>
      </c>
      <c r="C97" s="9">
        <v>2612</v>
      </c>
      <c r="D97" s="9" t="s">
        <v>101</v>
      </c>
      <c r="E97" s="34">
        <v>6</v>
      </c>
      <c r="F97" s="35">
        <f>IFERROR(LOOKUP(E97,CODIGOS!A:A,CODIGOS!B:B)," ")</f>
        <v>0</v>
      </c>
      <c r="G97" s="9"/>
      <c r="H97" s="36">
        <v>20</v>
      </c>
      <c r="I97" s="34" t="s">
        <v>11</v>
      </c>
      <c r="J97" s="9"/>
    </row>
    <row r="98" spans="1:10">
      <c r="A98" s="39">
        <v>97</v>
      </c>
      <c r="B98" s="33">
        <v>44963</v>
      </c>
      <c r="C98" s="9">
        <v>2324</v>
      </c>
      <c r="D98" s="9" t="s">
        <v>102</v>
      </c>
      <c r="E98" s="34">
        <v>6</v>
      </c>
      <c r="F98" s="35">
        <f>IFERROR(LOOKUP(E98,CODIGOS!A:A,CODIGOS!B:B)," ")</f>
        <v>0</v>
      </c>
      <c r="G98" s="9"/>
      <c r="H98" s="36">
        <v>20</v>
      </c>
      <c r="I98" s="34" t="s">
        <v>11</v>
      </c>
      <c r="J98" s="9"/>
    </row>
    <row r="99" spans="1:10">
      <c r="A99" s="39">
        <v>98</v>
      </c>
      <c r="B99" s="33">
        <v>44963</v>
      </c>
      <c r="C99" s="9">
        <v>2392</v>
      </c>
      <c r="D99" s="9" t="s">
        <v>15</v>
      </c>
      <c r="E99" s="34">
        <v>6</v>
      </c>
      <c r="F99" s="35">
        <f>IFERROR(LOOKUP(E99,CODIGOS!A:A,CODIGOS!B:B)," ")</f>
        <v>0</v>
      </c>
      <c r="G99" s="9"/>
      <c r="H99" s="36">
        <v>20</v>
      </c>
      <c r="I99" s="34" t="s">
        <v>11</v>
      </c>
      <c r="J99" s="9"/>
    </row>
    <row r="100" spans="1:10">
      <c r="A100" s="39">
        <v>99</v>
      </c>
      <c r="B100" s="33">
        <v>44963</v>
      </c>
      <c r="C100" s="9">
        <v>2471</v>
      </c>
      <c r="D100" s="9" t="s">
        <v>103</v>
      </c>
      <c r="E100" s="34">
        <v>6</v>
      </c>
      <c r="F100" s="35">
        <f>IFERROR(LOOKUP(E100,CODIGOS!A:A,CODIGOS!B:B)," ")</f>
        <v>0</v>
      </c>
      <c r="G100" s="9"/>
      <c r="H100" s="36">
        <v>20</v>
      </c>
      <c r="I100" s="34" t="s">
        <v>11</v>
      </c>
      <c r="J100" s="9"/>
    </row>
    <row r="101" spans="1:10">
      <c r="A101" s="39">
        <v>100</v>
      </c>
      <c r="B101" s="33">
        <v>44963</v>
      </c>
      <c r="C101" s="9">
        <v>2481</v>
      </c>
      <c r="D101" s="9" t="s">
        <v>104</v>
      </c>
      <c r="E101" s="34">
        <v>6</v>
      </c>
      <c r="F101" s="35">
        <f>IFERROR(LOOKUP(E101,CODIGOS!A:A,CODIGOS!B:B)," ")</f>
        <v>0</v>
      </c>
      <c r="G101" s="9"/>
      <c r="H101" s="36">
        <v>20</v>
      </c>
      <c r="I101" s="34" t="s">
        <v>11</v>
      </c>
      <c r="J101" s="9"/>
    </row>
    <row r="102" spans="1:10">
      <c r="A102" s="39">
        <v>101</v>
      </c>
      <c r="B102" s="33">
        <v>44963</v>
      </c>
      <c r="C102" s="9">
        <v>2489</v>
      </c>
      <c r="D102" s="9" t="s">
        <v>29</v>
      </c>
      <c r="E102" s="34">
        <v>6</v>
      </c>
      <c r="F102" s="35">
        <f>IFERROR(LOOKUP(E102,CODIGOS!A:A,CODIGOS!B:B)," ")</f>
        <v>0</v>
      </c>
      <c r="G102" s="9"/>
      <c r="H102" s="36">
        <v>20</v>
      </c>
      <c r="I102" s="34" t="s">
        <v>11</v>
      </c>
      <c r="J102" s="9"/>
    </row>
    <row r="103" spans="1:10">
      <c r="A103" s="39">
        <v>102</v>
      </c>
      <c r="B103" s="33">
        <v>44963</v>
      </c>
      <c r="C103" s="9">
        <v>2303</v>
      </c>
      <c r="D103" s="9" t="s">
        <v>105</v>
      </c>
      <c r="E103" s="34">
        <v>6</v>
      </c>
      <c r="F103" s="35">
        <f>IFERROR(LOOKUP(E103,CODIGOS!A:A,CODIGOS!B:B)," ")</f>
        <v>0</v>
      </c>
      <c r="G103" s="9"/>
      <c r="H103" s="36">
        <v>20</v>
      </c>
      <c r="I103" s="34" t="s">
        <v>11</v>
      </c>
      <c r="J103" s="9"/>
    </row>
    <row r="104" spans="1:10">
      <c r="A104" s="39">
        <v>103</v>
      </c>
      <c r="B104" s="33">
        <v>44963</v>
      </c>
      <c r="C104" s="9">
        <v>2129</v>
      </c>
      <c r="D104" s="9" t="s">
        <v>106</v>
      </c>
      <c r="E104" s="34">
        <v>6</v>
      </c>
      <c r="F104" s="35">
        <f>IFERROR(LOOKUP(E104,CODIGOS!A:A,CODIGOS!B:B)," ")</f>
        <v>0</v>
      </c>
      <c r="G104" s="9"/>
      <c r="H104" s="36">
        <v>20</v>
      </c>
      <c r="I104" s="34" t="s">
        <v>11</v>
      </c>
      <c r="J104" s="9"/>
    </row>
    <row r="105" spans="1:10">
      <c r="A105" s="39">
        <v>104</v>
      </c>
      <c r="B105" s="33">
        <v>44963</v>
      </c>
      <c r="C105" s="9" t="s">
        <v>107</v>
      </c>
      <c r="D105" s="9" t="s">
        <v>29</v>
      </c>
      <c r="E105" s="34">
        <v>6</v>
      </c>
      <c r="F105" s="35">
        <f>IFERROR(LOOKUP(E105,CODIGOS!A:A,CODIGOS!B:B)," ")</f>
        <v>0</v>
      </c>
      <c r="G105" s="9"/>
      <c r="H105" s="36">
        <v>30</v>
      </c>
      <c r="I105" s="34" t="s">
        <v>20</v>
      </c>
      <c r="J105" s="9"/>
    </row>
    <row r="106" spans="1:10">
      <c r="A106" s="39">
        <v>105</v>
      </c>
      <c r="B106" s="33">
        <v>44963</v>
      </c>
      <c r="C106" s="9">
        <v>1397</v>
      </c>
      <c r="D106" s="9" t="s">
        <v>66</v>
      </c>
      <c r="E106" s="34">
        <v>6</v>
      </c>
      <c r="F106" s="35">
        <f>IFERROR(LOOKUP(E106,CODIGOS!A:A,CODIGOS!B:B)," ")</f>
        <v>0</v>
      </c>
      <c r="G106" s="9"/>
      <c r="H106" s="42">
        <v>40</v>
      </c>
      <c r="I106" s="34" t="s">
        <v>11</v>
      </c>
      <c r="J106" s="9"/>
    </row>
    <row r="107" spans="1:10">
      <c r="A107" s="39">
        <v>106</v>
      </c>
      <c r="B107" s="33">
        <v>44963</v>
      </c>
      <c r="C107" s="9" t="s">
        <v>108</v>
      </c>
      <c r="D107" s="9" t="s">
        <v>109</v>
      </c>
      <c r="E107" s="34">
        <v>6</v>
      </c>
      <c r="F107" s="35">
        <f>IFERROR(LOOKUP(E107,CODIGOS!A:A,CODIGOS!B:B)," ")</f>
        <v>0</v>
      </c>
      <c r="G107" s="9"/>
      <c r="H107" s="42"/>
      <c r="I107" s="34"/>
      <c r="J107" s="9"/>
    </row>
    <row r="108" spans="1:10">
      <c r="A108" s="39">
        <v>107</v>
      </c>
      <c r="B108" s="33">
        <v>44963</v>
      </c>
      <c r="C108" s="9">
        <v>2721</v>
      </c>
      <c r="D108" s="9" t="s">
        <v>110</v>
      </c>
      <c r="E108" s="34">
        <v>6</v>
      </c>
      <c r="F108" s="35">
        <f>IFERROR(LOOKUP(E108,CODIGOS!A:A,CODIGOS!B:B)," ")</f>
        <v>0</v>
      </c>
      <c r="G108" s="9"/>
      <c r="H108" s="36">
        <v>25</v>
      </c>
      <c r="I108" s="34" t="s">
        <v>11</v>
      </c>
      <c r="J108" s="9"/>
    </row>
    <row r="109" spans="1:10">
      <c r="A109" s="39">
        <v>108</v>
      </c>
      <c r="B109" s="33">
        <v>44963</v>
      </c>
      <c r="C109" s="9">
        <v>1930</v>
      </c>
      <c r="D109" s="9" t="s">
        <v>12</v>
      </c>
      <c r="E109" s="34">
        <v>6</v>
      </c>
      <c r="F109" s="35">
        <f>IFERROR(LOOKUP(E109,CODIGOS!A:A,CODIGOS!B:B)," ")</f>
        <v>0</v>
      </c>
      <c r="G109" s="9"/>
      <c r="H109" s="36">
        <v>20</v>
      </c>
      <c r="I109" s="34" t="s">
        <v>11</v>
      </c>
      <c r="J109" s="9"/>
    </row>
    <row r="110" spans="1:10">
      <c r="A110" s="39">
        <v>109</v>
      </c>
      <c r="B110" s="33">
        <v>44963</v>
      </c>
      <c r="C110" s="9">
        <v>2004</v>
      </c>
      <c r="D110" s="9" t="s">
        <v>13</v>
      </c>
      <c r="E110" s="34">
        <v>6</v>
      </c>
      <c r="F110" s="35">
        <f>IFERROR(LOOKUP(E110,CODIGOS!A:A,CODIGOS!B:B)," ")</f>
        <v>0</v>
      </c>
      <c r="G110" s="9"/>
      <c r="H110" s="36">
        <v>20</v>
      </c>
      <c r="I110" s="34" t="s">
        <v>11</v>
      </c>
      <c r="J110" s="9"/>
    </row>
    <row r="111" spans="1:10">
      <c r="A111" s="39">
        <v>110</v>
      </c>
      <c r="B111" s="33">
        <v>44963</v>
      </c>
      <c r="C111" s="9">
        <v>2003</v>
      </c>
      <c r="D111" s="9" t="s">
        <v>10</v>
      </c>
      <c r="E111" s="34">
        <v>6</v>
      </c>
      <c r="F111" s="35">
        <f>IFERROR(LOOKUP(E111,CODIGOS!A:A,CODIGOS!B:B)," ")</f>
        <v>0</v>
      </c>
      <c r="G111" s="9"/>
      <c r="H111" s="36">
        <v>20</v>
      </c>
      <c r="I111" s="34" t="s">
        <v>11</v>
      </c>
      <c r="J111" s="9"/>
    </row>
    <row r="112" spans="1:10">
      <c r="A112" s="39">
        <v>111</v>
      </c>
      <c r="B112" s="33">
        <v>44963</v>
      </c>
      <c r="C112" s="9">
        <v>2084</v>
      </c>
      <c r="D112" s="9" t="s">
        <v>111</v>
      </c>
      <c r="E112" s="34">
        <v>6</v>
      </c>
      <c r="F112" s="35">
        <f>IFERROR(LOOKUP(E112,CODIGOS!A:A,CODIGOS!B:B)," ")</f>
        <v>0</v>
      </c>
      <c r="G112" s="9"/>
      <c r="H112" s="36">
        <v>20</v>
      </c>
      <c r="I112" s="34" t="s">
        <v>11</v>
      </c>
      <c r="J112" s="9"/>
    </row>
    <row r="113" spans="1:10">
      <c r="A113" s="39">
        <v>112</v>
      </c>
      <c r="B113" s="33">
        <v>44963</v>
      </c>
      <c r="C113" s="9">
        <v>2091</v>
      </c>
      <c r="D113" s="9" t="s">
        <v>112</v>
      </c>
      <c r="E113" s="34">
        <v>6</v>
      </c>
      <c r="F113" s="35">
        <f>IFERROR(LOOKUP(E113,CODIGOS!A:A,CODIGOS!B:B)," ")</f>
        <v>0</v>
      </c>
      <c r="G113" s="9"/>
      <c r="H113" s="36">
        <v>20</v>
      </c>
      <c r="I113" s="34" t="s">
        <v>11</v>
      </c>
      <c r="J113" s="9"/>
    </row>
    <row r="114" spans="1:10">
      <c r="A114" s="39">
        <v>113</v>
      </c>
      <c r="B114" s="33">
        <v>44963</v>
      </c>
      <c r="C114" s="9">
        <v>1823</v>
      </c>
      <c r="D114" s="9" t="s">
        <v>113</v>
      </c>
      <c r="E114" s="34">
        <v>6</v>
      </c>
      <c r="F114" s="35">
        <f>IFERROR(LOOKUP(E114,CODIGOS!A:A,CODIGOS!B:B)," ")</f>
        <v>0</v>
      </c>
      <c r="G114" s="9"/>
      <c r="H114" s="36">
        <v>20</v>
      </c>
      <c r="I114" s="34" t="s">
        <v>11</v>
      </c>
      <c r="J114" s="9"/>
    </row>
    <row r="115" spans="1:10">
      <c r="A115" s="39">
        <v>114</v>
      </c>
      <c r="B115" s="33">
        <v>44964</v>
      </c>
      <c r="C115" s="40">
        <v>2722</v>
      </c>
      <c r="D115" s="9" t="s">
        <v>114</v>
      </c>
      <c r="E115" s="34">
        <v>55</v>
      </c>
      <c r="F115" s="35">
        <f>IFERROR(LOOKUP(E115,CODIGOS!A:A,CODIGOS!B:B)," ")</f>
        <v>0</v>
      </c>
      <c r="G115" s="9"/>
      <c r="H115" s="36">
        <v>25</v>
      </c>
      <c r="I115" s="34" t="s">
        <v>115</v>
      </c>
      <c r="J115" s="9"/>
    </row>
    <row r="116" spans="1:10">
      <c r="A116" s="39">
        <v>115</v>
      </c>
      <c r="B116" s="33">
        <v>44964</v>
      </c>
      <c r="C116" s="40">
        <v>2723</v>
      </c>
      <c r="D116" s="9" t="s">
        <v>116</v>
      </c>
      <c r="E116" s="34">
        <v>55</v>
      </c>
      <c r="F116" s="35">
        <f>IFERROR(LOOKUP(E116,CODIGOS!A:A,CODIGOS!B:B)," ")</f>
        <v>0</v>
      </c>
      <c r="G116" s="9"/>
      <c r="H116" s="36">
        <v>25</v>
      </c>
      <c r="I116" s="34" t="s">
        <v>115</v>
      </c>
      <c r="J116" s="9"/>
    </row>
    <row r="117" spans="1:10">
      <c r="A117" s="39">
        <v>116</v>
      </c>
      <c r="B117" s="33">
        <v>44964</v>
      </c>
      <c r="C117" s="40">
        <v>2724</v>
      </c>
      <c r="D117" s="9" t="s">
        <v>117</v>
      </c>
      <c r="E117" s="34">
        <v>55</v>
      </c>
      <c r="F117" s="35">
        <f>IFERROR(LOOKUP(E117,CODIGOS!A:A,CODIGOS!B:B)," ")</f>
        <v>0</v>
      </c>
      <c r="G117" s="9"/>
      <c r="H117" s="36">
        <v>25</v>
      </c>
      <c r="I117" s="34" t="s">
        <v>115</v>
      </c>
      <c r="J117" s="9"/>
    </row>
    <row r="118" spans="1:10">
      <c r="A118" s="39">
        <v>117</v>
      </c>
      <c r="B118" s="33">
        <v>44965</v>
      </c>
      <c r="C118" s="40">
        <v>2500</v>
      </c>
      <c r="D118" s="9" t="s">
        <v>118</v>
      </c>
      <c r="E118" s="34">
        <v>6</v>
      </c>
      <c r="F118" s="35">
        <f>IFERROR(LOOKUP(E118,CODIGOS!A:A,CODIGOS!B:B)," ")</f>
        <v>0</v>
      </c>
      <c r="G118" s="9"/>
      <c r="H118" s="36">
        <v>20</v>
      </c>
      <c r="I118" s="34"/>
      <c r="J118" s="9"/>
    </row>
    <row r="119" spans="1:10">
      <c r="A119" s="39">
        <v>118</v>
      </c>
      <c r="B119" s="33">
        <v>44965</v>
      </c>
      <c r="C119" s="40">
        <v>2725</v>
      </c>
      <c r="D119" s="9" t="s">
        <v>119</v>
      </c>
      <c r="E119" s="34">
        <v>55</v>
      </c>
      <c r="F119" s="35">
        <f>IFERROR(LOOKUP(E119,CODIGOS!A:A,CODIGOS!B:B)," ")</f>
        <v>0</v>
      </c>
      <c r="G119" s="9"/>
      <c r="H119" s="36">
        <v>25</v>
      </c>
      <c r="I119" s="34" t="s">
        <v>11</v>
      </c>
      <c r="J119" s="9"/>
    </row>
    <row r="120" spans="1:10">
      <c r="A120" s="39">
        <v>119</v>
      </c>
      <c r="B120" s="33">
        <v>44966</v>
      </c>
      <c r="C120" s="40"/>
      <c r="D120" s="9" t="s">
        <v>120</v>
      </c>
      <c r="E120" s="34">
        <v>4</v>
      </c>
      <c r="F120" s="35" t="str">
        <f>IFERROR(LOOKUP(E120,CODIGOS!A:A,CODIGOS!B:B)," ")</f>
        <v>DEVOLUCION</v>
      </c>
      <c r="G120" s="9"/>
      <c r="H120" s="36">
        <v>15</v>
      </c>
      <c r="I120" s="34"/>
      <c r="J120" s="9"/>
    </row>
    <row r="121" spans="1:10">
      <c r="A121" s="39">
        <v>120</v>
      </c>
      <c r="B121" s="33">
        <v>44966</v>
      </c>
      <c r="C121" s="40"/>
      <c r="D121" s="9" t="s">
        <v>121</v>
      </c>
      <c r="E121" s="34">
        <v>4</v>
      </c>
      <c r="F121" s="35" t="str">
        <f>IFERROR(LOOKUP(E121,CODIGOS!A:A,CODIGOS!B:B)," ")</f>
        <v>DEVOLUCION</v>
      </c>
      <c r="G121" s="9"/>
      <c r="H121" s="36">
        <v>15</v>
      </c>
      <c r="I121" s="34"/>
      <c r="J121" s="9"/>
    </row>
    <row r="122" spans="1:10">
      <c r="A122" s="39">
        <v>121</v>
      </c>
      <c r="B122" s="33">
        <v>44970</v>
      </c>
      <c r="C122" s="40">
        <v>2015</v>
      </c>
      <c r="D122" s="9" t="s">
        <v>93</v>
      </c>
      <c r="E122" s="34">
        <v>6</v>
      </c>
      <c r="F122" s="35">
        <f>IFERROR(LOOKUP(E122,CODIGOS!A:A,CODIGOS!B:B)," ")</f>
        <v>0</v>
      </c>
      <c r="G122" s="9"/>
      <c r="H122" s="36">
        <v>20</v>
      </c>
      <c r="I122" s="34" t="s">
        <v>11</v>
      </c>
      <c r="J122" s="9"/>
    </row>
    <row r="123" spans="1:10">
      <c r="A123" s="39">
        <v>122</v>
      </c>
      <c r="B123" s="33">
        <v>44970</v>
      </c>
      <c r="C123" s="40">
        <v>2163</v>
      </c>
      <c r="D123" s="9" t="s">
        <v>122</v>
      </c>
      <c r="E123" s="34">
        <v>6</v>
      </c>
      <c r="F123" s="35">
        <f>IFERROR(LOOKUP(E123,CODIGOS!A:A,CODIGOS!B:B)," ")</f>
        <v>0</v>
      </c>
      <c r="G123" s="9"/>
      <c r="H123" s="36">
        <v>20</v>
      </c>
      <c r="I123" s="34" t="s">
        <v>20</v>
      </c>
      <c r="J123" s="9"/>
    </row>
    <row r="124" spans="1:10">
      <c r="A124" s="39">
        <v>123</v>
      </c>
      <c r="B124" s="33">
        <v>44970</v>
      </c>
      <c r="C124" s="40">
        <v>1897</v>
      </c>
      <c r="D124" s="9" t="s">
        <v>77</v>
      </c>
      <c r="E124" s="34">
        <v>6</v>
      </c>
      <c r="F124" s="35">
        <f>IFERROR(LOOKUP(E124,CODIGOS!A:A,CODIGOS!B:B)," ")</f>
        <v>0</v>
      </c>
      <c r="G124" s="9"/>
      <c r="H124" s="36">
        <v>20</v>
      </c>
      <c r="I124" s="34" t="s">
        <v>11</v>
      </c>
      <c r="J124" s="9"/>
    </row>
    <row r="125" spans="1:10">
      <c r="A125" s="39">
        <v>124</v>
      </c>
      <c r="B125" s="33">
        <v>44970</v>
      </c>
      <c r="C125" s="40">
        <v>1898</v>
      </c>
      <c r="D125" s="9" t="s">
        <v>123</v>
      </c>
      <c r="E125" s="34">
        <v>6</v>
      </c>
      <c r="F125" s="35">
        <f>IFERROR(LOOKUP(E125,CODIGOS!A:A,CODIGOS!B:B)," ")</f>
        <v>0</v>
      </c>
      <c r="G125" s="9"/>
      <c r="H125" s="36">
        <v>20</v>
      </c>
      <c r="I125" s="34" t="s">
        <v>11</v>
      </c>
      <c r="J125" s="9"/>
    </row>
    <row r="126" spans="1:10">
      <c r="A126" s="39">
        <v>125</v>
      </c>
      <c r="B126" s="33">
        <v>44970</v>
      </c>
      <c r="C126" s="40">
        <v>2632</v>
      </c>
      <c r="D126" s="9" t="s">
        <v>124</v>
      </c>
      <c r="E126" s="34">
        <v>6</v>
      </c>
      <c r="F126" s="35">
        <f>IFERROR(LOOKUP(E126,CODIGOS!A:A,CODIGOS!B:B)," ")</f>
        <v>0</v>
      </c>
      <c r="G126" s="9"/>
      <c r="H126" s="36">
        <v>20</v>
      </c>
      <c r="I126" s="34" t="s">
        <v>11</v>
      </c>
      <c r="J126" s="9"/>
    </row>
    <row r="127" spans="1:10">
      <c r="A127" s="39">
        <v>126</v>
      </c>
      <c r="B127" s="33">
        <v>44970</v>
      </c>
      <c r="C127" s="9">
        <v>2308</v>
      </c>
      <c r="D127" s="9" t="s">
        <v>125</v>
      </c>
      <c r="E127" s="34">
        <v>6</v>
      </c>
      <c r="F127" s="35">
        <f>IFERROR(LOOKUP(E127,CODIGOS!A:A,CODIGOS!B:B)," ")</f>
        <v>0</v>
      </c>
      <c r="G127" s="9"/>
      <c r="H127" s="36">
        <v>20</v>
      </c>
      <c r="I127" s="34"/>
      <c r="J127" s="9"/>
    </row>
    <row r="128" spans="1:10" ht="15">
      <c r="A128" s="39">
        <v>127</v>
      </c>
      <c r="B128" s="33">
        <v>44970</v>
      </c>
      <c r="C128" s="9">
        <v>2125</v>
      </c>
      <c r="D128" s="15" t="s">
        <v>126</v>
      </c>
      <c r="E128" s="34">
        <v>6</v>
      </c>
      <c r="F128" s="35">
        <f>IFERROR(LOOKUP(E128,CODIGOS!A:A,CODIGOS!B:B)," ")</f>
        <v>0</v>
      </c>
      <c r="G128" s="9"/>
      <c r="H128" s="36">
        <v>20</v>
      </c>
      <c r="I128" s="34"/>
      <c r="J128" s="9"/>
    </row>
    <row r="129" spans="1:10" ht="15">
      <c r="A129" s="39">
        <v>128</v>
      </c>
      <c r="B129" s="33">
        <v>44970</v>
      </c>
      <c r="C129" s="9" t="s">
        <v>127</v>
      </c>
      <c r="D129" s="15" t="s">
        <v>128</v>
      </c>
      <c r="E129" s="34">
        <v>6</v>
      </c>
      <c r="F129" s="35">
        <f>IFERROR(LOOKUP(E129,CODIGOS!A:A,CODIGOS!B:B)," ")</f>
        <v>0</v>
      </c>
      <c r="G129" s="9"/>
      <c r="H129" s="36">
        <v>30</v>
      </c>
      <c r="I129" s="34"/>
      <c r="J129" s="9"/>
    </row>
    <row r="130" spans="1:10" ht="15">
      <c r="A130" s="39">
        <v>129</v>
      </c>
      <c r="B130" s="33">
        <v>44970</v>
      </c>
      <c r="C130" s="9">
        <v>2406</v>
      </c>
      <c r="D130" s="15" t="s">
        <v>129</v>
      </c>
      <c r="E130" s="34">
        <v>6</v>
      </c>
      <c r="F130" s="35">
        <f>IFERROR(LOOKUP(E130,CODIGOS!A:A,CODIGOS!B:B)," ")</f>
        <v>0</v>
      </c>
      <c r="G130" s="9"/>
      <c r="H130" s="36">
        <v>20</v>
      </c>
      <c r="I130" s="34"/>
      <c r="J130" s="9"/>
    </row>
    <row r="131" spans="1:10">
      <c r="A131" s="39">
        <v>130</v>
      </c>
      <c r="B131" s="33">
        <v>44970</v>
      </c>
      <c r="C131" s="9">
        <v>2369</v>
      </c>
      <c r="D131" s="9" t="s">
        <v>130</v>
      </c>
      <c r="E131" s="34">
        <v>6</v>
      </c>
      <c r="F131" s="35">
        <f>IFERROR(LOOKUP(E131,CODIGOS!A:A,CODIGOS!B:B)," ")</f>
        <v>0</v>
      </c>
      <c r="G131" s="9"/>
      <c r="H131" s="36">
        <v>20</v>
      </c>
      <c r="I131" s="34" t="s">
        <v>11</v>
      </c>
      <c r="J131" s="9"/>
    </row>
    <row r="132" spans="1:10">
      <c r="A132" s="39">
        <v>131</v>
      </c>
      <c r="B132" s="33">
        <v>44970</v>
      </c>
      <c r="C132" s="9">
        <v>2109</v>
      </c>
      <c r="D132" s="9" t="s">
        <v>58</v>
      </c>
      <c r="E132" s="34">
        <v>6</v>
      </c>
      <c r="F132" s="35">
        <f>IFERROR(LOOKUP(E132,CODIGOS!A:A,CODIGOS!B:B)," ")</f>
        <v>0</v>
      </c>
      <c r="G132" s="9"/>
      <c r="H132" s="36">
        <v>20</v>
      </c>
      <c r="I132" s="34" t="s">
        <v>11</v>
      </c>
      <c r="J132" s="9"/>
    </row>
    <row r="133" spans="1:10">
      <c r="A133" s="39">
        <v>132</v>
      </c>
      <c r="B133" s="33">
        <v>44970</v>
      </c>
      <c r="C133" s="9">
        <v>2411</v>
      </c>
      <c r="D133" s="9" t="s">
        <v>70</v>
      </c>
      <c r="E133" s="34">
        <v>6</v>
      </c>
      <c r="F133" s="35">
        <f>IFERROR(LOOKUP(E133,CODIGOS!A:A,CODIGOS!B:B)," ")</f>
        <v>0</v>
      </c>
      <c r="G133" s="9"/>
      <c r="H133" s="36">
        <v>20</v>
      </c>
      <c r="I133" s="34"/>
      <c r="J133" s="9"/>
    </row>
    <row r="134" spans="1:10">
      <c r="A134" s="39">
        <v>133</v>
      </c>
      <c r="B134" s="33">
        <v>44970</v>
      </c>
      <c r="C134" s="9">
        <v>2548</v>
      </c>
      <c r="D134" s="9" t="s">
        <v>131</v>
      </c>
      <c r="E134" s="34">
        <v>6</v>
      </c>
      <c r="F134" s="35">
        <f>IFERROR(LOOKUP(E134,CODIGOS!A:A,CODIGOS!B:B)," ")</f>
        <v>0</v>
      </c>
      <c r="G134" s="9"/>
      <c r="H134" s="36">
        <v>20</v>
      </c>
      <c r="I134" s="34"/>
      <c r="J134" s="9"/>
    </row>
    <row r="135" spans="1:10">
      <c r="A135" s="39">
        <v>134</v>
      </c>
      <c r="B135" s="33">
        <v>44970</v>
      </c>
      <c r="C135" s="9" t="s">
        <v>132</v>
      </c>
      <c r="D135" s="9" t="s">
        <v>133</v>
      </c>
      <c r="E135" s="34">
        <v>6</v>
      </c>
      <c r="F135" s="35">
        <f>IFERROR(LOOKUP(E135,CODIGOS!A:A,CODIGOS!B:B)," ")</f>
        <v>0</v>
      </c>
      <c r="G135" s="9"/>
      <c r="H135" s="36">
        <v>30</v>
      </c>
      <c r="I135" s="34"/>
      <c r="J135" s="9"/>
    </row>
    <row r="136" spans="1:10">
      <c r="A136" s="39">
        <v>135</v>
      </c>
      <c r="B136" s="33">
        <v>44970</v>
      </c>
      <c r="C136" s="9">
        <v>2102</v>
      </c>
      <c r="D136" s="9" t="s">
        <v>134</v>
      </c>
      <c r="E136" s="34">
        <v>7</v>
      </c>
      <c r="F136" s="35">
        <f>IFERROR(LOOKUP(E136,CODIGOS!A:A,CODIGOS!B:B)," ")</f>
        <v>0</v>
      </c>
      <c r="G136" s="9"/>
      <c r="H136" s="36">
        <v>5</v>
      </c>
      <c r="I136" s="34" t="s">
        <v>20</v>
      </c>
      <c r="J136" s="9"/>
    </row>
    <row r="137" spans="1:10">
      <c r="A137" s="39">
        <v>136</v>
      </c>
      <c r="B137" s="33">
        <v>44970</v>
      </c>
      <c r="C137" s="9">
        <v>1391</v>
      </c>
      <c r="D137" s="9" t="s">
        <v>135</v>
      </c>
      <c r="E137" s="34">
        <v>7</v>
      </c>
      <c r="F137" s="35">
        <f>IFERROR(LOOKUP(E137,CODIGOS!A:A,CODIGOS!B:B)," ")</f>
        <v>0</v>
      </c>
      <c r="G137" s="9"/>
      <c r="H137" s="36">
        <v>5</v>
      </c>
      <c r="I137" s="34" t="s">
        <v>11</v>
      </c>
      <c r="J137" s="9"/>
    </row>
    <row r="138" spans="1:10">
      <c r="A138" s="39">
        <v>137</v>
      </c>
      <c r="B138" s="33">
        <v>44970</v>
      </c>
      <c r="C138" s="9">
        <v>1581</v>
      </c>
      <c r="D138" s="9" t="s">
        <v>136</v>
      </c>
      <c r="E138" s="34">
        <v>7</v>
      </c>
      <c r="F138" s="35">
        <f>IFERROR(LOOKUP(E138,CODIGOS!A:A,CODIGOS!B:B)," ")</f>
        <v>0</v>
      </c>
      <c r="G138" s="9"/>
      <c r="H138" s="42">
        <v>5</v>
      </c>
      <c r="I138" s="34"/>
      <c r="J138" s="9"/>
    </row>
    <row r="139" spans="1:10">
      <c r="A139" s="39">
        <v>138</v>
      </c>
      <c r="B139" s="33">
        <v>44970</v>
      </c>
      <c r="C139" s="9">
        <v>2398</v>
      </c>
      <c r="D139" s="9" t="s">
        <v>137</v>
      </c>
      <c r="E139" s="34">
        <v>6</v>
      </c>
      <c r="F139" s="35">
        <f>IFERROR(LOOKUP(E139,CODIGOS!A:A,CODIGOS!B:B)," ")</f>
        <v>0</v>
      </c>
      <c r="G139" s="9"/>
      <c r="H139" s="42">
        <v>5</v>
      </c>
      <c r="I139" s="34" t="s">
        <v>11</v>
      </c>
      <c r="J139" s="9"/>
    </row>
    <row r="140" spans="1:10">
      <c r="A140" s="39">
        <v>139</v>
      </c>
      <c r="B140" s="33">
        <v>44970</v>
      </c>
      <c r="C140" s="9">
        <v>2263</v>
      </c>
      <c r="D140" s="9" t="s">
        <v>138</v>
      </c>
      <c r="E140" s="34">
        <v>6</v>
      </c>
      <c r="F140" s="35">
        <f>IFERROR(LOOKUP(E140,CODIGOS!A:A,CODIGOS!B:B)," ")</f>
        <v>0</v>
      </c>
      <c r="G140" s="9"/>
      <c r="H140" s="36">
        <v>5</v>
      </c>
      <c r="I140" s="34" t="s">
        <v>11</v>
      </c>
      <c r="J140" s="9"/>
    </row>
    <row r="141" spans="1:10">
      <c r="A141" s="39">
        <v>140</v>
      </c>
      <c r="B141" s="33">
        <v>44970</v>
      </c>
      <c r="C141" s="9">
        <v>2727</v>
      </c>
      <c r="D141" s="9" t="s">
        <v>139</v>
      </c>
      <c r="E141" s="34">
        <v>5</v>
      </c>
      <c r="F141" s="35">
        <f>IFERROR(LOOKUP(E141,CODIGOS!A:A,CODIGOS!B:B)," ")</f>
        <v>0</v>
      </c>
      <c r="G141" s="9"/>
      <c r="H141" s="36">
        <v>25</v>
      </c>
      <c r="I141" s="34" t="s">
        <v>11</v>
      </c>
      <c r="J141" s="9"/>
    </row>
    <row r="142" spans="1:10">
      <c r="A142" s="39">
        <v>141</v>
      </c>
      <c r="B142" s="33">
        <v>44970</v>
      </c>
      <c r="C142" s="9">
        <v>2726</v>
      </c>
      <c r="D142" s="9" t="s">
        <v>140</v>
      </c>
      <c r="E142" s="34">
        <v>5</v>
      </c>
      <c r="F142" s="35">
        <f>IFERROR(LOOKUP(E142,CODIGOS!A:A,CODIGOS!B:B)," ")</f>
        <v>0</v>
      </c>
      <c r="G142" s="9"/>
      <c r="H142" s="36">
        <v>25</v>
      </c>
      <c r="I142" s="34" t="s">
        <v>11</v>
      </c>
      <c r="J142" s="9"/>
    </row>
    <row r="143" spans="1:10">
      <c r="A143" s="39">
        <v>142</v>
      </c>
      <c r="B143" s="33">
        <v>44970</v>
      </c>
      <c r="C143" s="9">
        <v>2684</v>
      </c>
      <c r="D143" s="9" t="s">
        <v>141</v>
      </c>
      <c r="E143" s="34">
        <v>7</v>
      </c>
      <c r="F143" s="35">
        <f>IFERROR(LOOKUP(E143,CODIGOS!A:A,CODIGOS!B:B)," ")</f>
        <v>0</v>
      </c>
      <c r="G143" s="9"/>
      <c r="H143" s="36">
        <v>5</v>
      </c>
      <c r="I143" s="34" t="s">
        <v>11</v>
      </c>
      <c r="J143" s="9"/>
    </row>
    <row r="144" spans="1:10">
      <c r="A144" s="39">
        <v>143</v>
      </c>
      <c r="B144" s="33">
        <v>44971</v>
      </c>
      <c r="C144" s="40">
        <v>2728</v>
      </c>
      <c r="D144" s="9" t="s">
        <v>142</v>
      </c>
      <c r="E144" s="34">
        <v>55</v>
      </c>
      <c r="F144" s="35">
        <f>IFERROR(LOOKUP(E144,CODIGOS!A:A,CODIGOS!B:B)," ")</f>
        <v>0</v>
      </c>
      <c r="G144" s="9"/>
      <c r="H144" s="36">
        <v>25</v>
      </c>
      <c r="I144" s="34" t="s">
        <v>11</v>
      </c>
      <c r="J144" s="9"/>
    </row>
    <row r="145" spans="1:10">
      <c r="A145" s="39">
        <v>144</v>
      </c>
      <c r="B145" s="33">
        <v>44971</v>
      </c>
      <c r="C145" s="40">
        <v>2414</v>
      </c>
      <c r="D145" s="9" t="s">
        <v>143</v>
      </c>
      <c r="E145" s="34">
        <v>6</v>
      </c>
      <c r="F145" s="35">
        <f>IFERROR(LOOKUP(E145,CODIGOS!A:A,CODIGOS!B:B)," ")</f>
        <v>0</v>
      </c>
      <c r="G145" s="9"/>
      <c r="H145" s="36">
        <v>20</v>
      </c>
      <c r="I145" s="34" t="s">
        <v>11</v>
      </c>
      <c r="J145" s="9"/>
    </row>
    <row r="146" spans="1:10">
      <c r="A146" s="39">
        <v>145</v>
      </c>
      <c r="B146" s="33">
        <v>44971</v>
      </c>
      <c r="C146" s="40">
        <v>2004</v>
      </c>
      <c r="D146" s="9" t="s">
        <v>144</v>
      </c>
      <c r="E146" s="34">
        <v>7</v>
      </c>
      <c r="F146" s="35">
        <f>IFERROR(LOOKUP(E146,CODIGOS!A:A,CODIGOS!B:B)," ")</f>
        <v>0</v>
      </c>
      <c r="G146" s="9"/>
      <c r="H146" s="36">
        <v>5</v>
      </c>
      <c r="I146" s="34" t="s">
        <v>11</v>
      </c>
      <c r="J146" s="9"/>
    </row>
    <row r="147" spans="1:10">
      <c r="A147" s="39">
        <v>146</v>
      </c>
      <c r="B147" s="33">
        <v>44971</v>
      </c>
      <c r="C147" s="40">
        <v>2003</v>
      </c>
      <c r="D147" s="9" t="s">
        <v>145</v>
      </c>
      <c r="E147" s="34">
        <v>7</v>
      </c>
      <c r="F147" s="35">
        <f>IFERROR(LOOKUP(E147,CODIGOS!A:A,CODIGOS!B:B)," ")</f>
        <v>0</v>
      </c>
      <c r="G147" s="9"/>
      <c r="H147" s="36">
        <v>5</v>
      </c>
      <c r="I147" s="34" t="s">
        <v>11</v>
      </c>
      <c r="J147" s="9"/>
    </row>
    <row r="148" spans="1:10">
      <c r="A148" s="39">
        <v>147</v>
      </c>
      <c r="B148" s="33">
        <v>44971</v>
      </c>
      <c r="C148" s="40">
        <v>2339</v>
      </c>
      <c r="D148" s="9" t="s">
        <v>146</v>
      </c>
      <c r="E148" s="34">
        <v>7</v>
      </c>
      <c r="F148" s="35">
        <f>IFERROR(LOOKUP(E148,CODIGOS!A:A,CODIGOS!B:B)," ")</f>
        <v>0</v>
      </c>
      <c r="G148" s="9"/>
      <c r="H148" s="36">
        <v>5</v>
      </c>
      <c r="I148" s="34" t="s">
        <v>11</v>
      </c>
      <c r="J148" s="9"/>
    </row>
    <row r="149" spans="1:10">
      <c r="A149" s="39">
        <v>148</v>
      </c>
      <c r="B149" s="33">
        <v>44972</v>
      </c>
      <c r="C149" s="40">
        <v>1901</v>
      </c>
      <c r="D149" s="9" t="s">
        <v>147</v>
      </c>
      <c r="E149" s="34">
        <v>7</v>
      </c>
      <c r="F149" s="35">
        <f>IFERROR(LOOKUP(E149,CODIGOS!A:A,CODIGOS!B:B)," ")</f>
        <v>0</v>
      </c>
      <c r="G149" s="9"/>
      <c r="H149" s="36">
        <v>5</v>
      </c>
      <c r="I149" s="34"/>
      <c r="J149" s="9"/>
    </row>
    <row r="150" spans="1:10">
      <c r="A150" s="39">
        <v>149</v>
      </c>
      <c r="B150" s="33">
        <v>44977</v>
      </c>
      <c r="C150" s="40">
        <v>2559</v>
      </c>
      <c r="D150" s="9" t="s">
        <v>148</v>
      </c>
      <c r="E150" s="34">
        <v>8</v>
      </c>
      <c r="F150" s="35">
        <f>IFERROR(LOOKUP(E150,CODIGOS!A:A,CODIGOS!B:B)," ")</f>
        <v>0</v>
      </c>
      <c r="G150" s="9"/>
      <c r="H150" s="36">
        <v>20</v>
      </c>
      <c r="I150" s="34" t="s">
        <v>149</v>
      </c>
      <c r="J150" s="9"/>
    </row>
    <row r="151" spans="1:10">
      <c r="A151" s="39">
        <v>150</v>
      </c>
      <c r="B151" s="33">
        <v>44977</v>
      </c>
      <c r="C151" s="40" t="s">
        <v>150</v>
      </c>
      <c r="D151" s="9" t="s">
        <v>151</v>
      </c>
      <c r="E151" s="34">
        <v>8</v>
      </c>
      <c r="F151" s="35">
        <f>IFERROR(LOOKUP(E151,CODIGOS!A:A,CODIGOS!B:B)," ")</f>
        <v>0</v>
      </c>
      <c r="G151" s="9"/>
      <c r="H151" s="36">
        <v>30</v>
      </c>
      <c r="I151" s="34" t="s">
        <v>152</v>
      </c>
      <c r="J151" s="9"/>
    </row>
    <row r="152" spans="1:10">
      <c r="A152" s="39">
        <v>151</v>
      </c>
      <c r="B152" s="33">
        <v>44977</v>
      </c>
      <c r="C152" s="40">
        <v>2497</v>
      </c>
      <c r="D152" s="9" t="s">
        <v>153</v>
      </c>
      <c r="E152" s="34">
        <v>8</v>
      </c>
      <c r="F152" s="35">
        <f>IFERROR(LOOKUP(E152,CODIGOS!A:A,CODIGOS!B:B)," ")</f>
        <v>0</v>
      </c>
      <c r="G152" s="9"/>
      <c r="H152" s="36">
        <v>20</v>
      </c>
      <c r="I152" s="34"/>
      <c r="J152" s="9"/>
    </row>
    <row r="153" spans="1:10">
      <c r="A153" s="39">
        <v>152</v>
      </c>
      <c r="B153" s="33">
        <v>44977</v>
      </c>
      <c r="C153" s="40">
        <v>2553</v>
      </c>
      <c r="D153" s="9" t="s">
        <v>154</v>
      </c>
      <c r="E153" s="34">
        <v>8</v>
      </c>
      <c r="F153" s="35">
        <f>IFERROR(LOOKUP(E153,CODIGOS!A:A,CODIGOS!B:B)," ")</f>
        <v>0</v>
      </c>
      <c r="G153" s="9"/>
      <c r="H153" s="36">
        <v>20</v>
      </c>
      <c r="I153" s="34"/>
      <c r="J153" s="9"/>
    </row>
    <row r="154" spans="1:10">
      <c r="A154" s="39">
        <v>153</v>
      </c>
      <c r="B154" s="33">
        <v>44977</v>
      </c>
      <c r="C154" s="40" t="s">
        <v>155</v>
      </c>
      <c r="D154" s="9" t="s">
        <v>156</v>
      </c>
      <c r="E154" s="34">
        <v>7</v>
      </c>
      <c r="F154" s="35">
        <f>IFERROR(LOOKUP(E154,CODIGOS!A:A,CODIGOS!B:B)," ")</f>
        <v>0</v>
      </c>
      <c r="G154" s="9"/>
      <c r="H154" s="36">
        <v>10</v>
      </c>
      <c r="I154" s="34" t="s">
        <v>152</v>
      </c>
      <c r="J154" s="9"/>
    </row>
    <row r="155" spans="1:10">
      <c r="A155" s="39">
        <v>154</v>
      </c>
      <c r="B155" s="33">
        <v>44977</v>
      </c>
      <c r="C155" s="9" t="s">
        <v>157</v>
      </c>
      <c r="D155" s="9" t="s">
        <v>158</v>
      </c>
      <c r="E155" s="34">
        <v>8</v>
      </c>
      <c r="F155" s="35">
        <f>IFERROR(LOOKUP(E155,CODIGOS!A:A,CODIGOS!B:B)," ")</f>
        <v>0</v>
      </c>
      <c r="G155" s="9"/>
      <c r="H155" s="36">
        <v>30</v>
      </c>
      <c r="I155" s="34" t="s">
        <v>152</v>
      </c>
      <c r="J155" s="9"/>
    </row>
    <row r="156" spans="1:10">
      <c r="A156" s="39">
        <v>155</v>
      </c>
      <c r="B156" s="33">
        <v>44977</v>
      </c>
      <c r="C156" s="9">
        <v>2374</v>
      </c>
      <c r="D156" s="9" t="s">
        <v>98</v>
      </c>
      <c r="E156" s="34">
        <v>8</v>
      </c>
      <c r="F156" s="35">
        <f>IFERROR(LOOKUP(E156,CODIGOS!A:A,CODIGOS!B:B)," ")</f>
        <v>0</v>
      </c>
      <c r="G156" s="9"/>
      <c r="H156" s="36">
        <v>20</v>
      </c>
      <c r="I156" s="34" t="s">
        <v>149</v>
      </c>
      <c r="J156" s="9"/>
    </row>
    <row r="157" spans="1:10">
      <c r="A157" s="39">
        <v>156</v>
      </c>
      <c r="B157" s="33">
        <v>44977</v>
      </c>
      <c r="C157" s="9">
        <v>2019</v>
      </c>
      <c r="D157" s="9" t="s">
        <v>159</v>
      </c>
      <c r="E157" s="34">
        <v>7</v>
      </c>
      <c r="F157" s="35">
        <f>IFERROR(LOOKUP(E157,CODIGOS!A:A,CODIGOS!B:B)," ")</f>
        <v>0</v>
      </c>
      <c r="G157" s="9"/>
      <c r="H157" s="36">
        <v>5</v>
      </c>
      <c r="I157" s="34"/>
      <c r="J157" s="9"/>
    </row>
    <row r="158" spans="1:10">
      <c r="A158" s="39">
        <v>157</v>
      </c>
      <c r="B158" s="33">
        <v>44977</v>
      </c>
      <c r="C158" s="9">
        <v>2727</v>
      </c>
      <c r="D158" s="9" t="s">
        <v>139</v>
      </c>
      <c r="E158" s="34">
        <v>8</v>
      </c>
      <c r="F158" s="35">
        <f>IFERROR(LOOKUP(E158,CODIGOS!A:A,CODIGOS!B:B)," ")</f>
        <v>0</v>
      </c>
      <c r="G158" s="9"/>
      <c r="H158" s="36">
        <v>20</v>
      </c>
      <c r="I158" s="34" t="s">
        <v>149</v>
      </c>
      <c r="J158" s="9"/>
    </row>
    <row r="159" spans="1:10">
      <c r="A159" s="39">
        <v>158</v>
      </c>
      <c r="B159" s="33">
        <v>44977</v>
      </c>
      <c r="C159" s="9">
        <v>2726</v>
      </c>
      <c r="D159" s="9" t="s">
        <v>140</v>
      </c>
      <c r="E159" s="34">
        <v>8</v>
      </c>
      <c r="F159" s="35">
        <f>IFERROR(LOOKUP(E159,CODIGOS!A:A,CODIGOS!B:B)," ")</f>
        <v>0</v>
      </c>
      <c r="G159" s="9"/>
      <c r="H159" s="36">
        <v>20</v>
      </c>
      <c r="I159" s="34" t="s">
        <v>149</v>
      </c>
      <c r="J159" s="9"/>
    </row>
    <row r="160" spans="1:10">
      <c r="A160" s="39">
        <v>159</v>
      </c>
      <c r="B160" s="33">
        <v>44977</v>
      </c>
      <c r="C160" s="9">
        <v>1944</v>
      </c>
      <c r="D160" s="9" t="s">
        <v>160</v>
      </c>
      <c r="E160" s="34">
        <v>8</v>
      </c>
      <c r="F160" s="35">
        <f>IFERROR(LOOKUP(E160,CODIGOS!A:A,CODIGOS!B:B)," ")</f>
        <v>0</v>
      </c>
      <c r="G160" s="9"/>
      <c r="H160" s="36">
        <v>20</v>
      </c>
      <c r="I160" s="34" t="s">
        <v>149</v>
      </c>
      <c r="J160" s="9"/>
    </row>
    <row r="161" spans="1:10">
      <c r="A161" s="39">
        <v>160</v>
      </c>
      <c r="B161" s="33">
        <v>44977</v>
      </c>
      <c r="C161" s="9" t="s">
        <v>161</v>
      </c>
      <c r="D161" s="9" t="s">
        <v>162</v>
      </c>
      <c r="E161" s="34">
        <v>8</v>
      </c>
      <c r="F161" s="35">
        <f>IFERROR(LOOKUP(E161,CODIGOS!A:A,CODIGOS!B:B)," ")</f>
        <v>0</v>
      </c>
      <c r="G161" s="9"/>
      <c r="H161" s="36">
        <v>30</v>
      </c>
      <c r="I161" s="34" t="s">
        <v>152</v>
      </c>
      <c r="J161" s="9"/>
    </row>
    <row r="162" spans="1:10">
      <c r="A162" s="39">
        <v>161</v>
      </c>
      <c r="B162" s="33">
        <v>44977</v>
      </c>
      <c r="C162" s="9">
        <v>2556</v>
      </c>
      <c r="D162" s="9" t="s">
        <v>89</v>
      </c>
      <c r="E162" s="34">
        <v>8</v>
      </c>
      <c r="F162" s="35">
        <f>IFERROR(LOOKUP(E162,CODIGOS!A:A,CODIGOS!B:B)," ")</f>
        <v>0</v>
      </c>
      <c r="G162" s="9"/>
      <c r="H162" s="36">
        <v>20</v>
      </c>
      <c r="I162" s="34"/>
      <c r="J162" s="9"/>
    </row>
    <row r="163" spans="1:10">
      <c r="A163" s="39">
        <v>162</v>
      </c>
      <c r="B163" s="33">
        <v>44977</v>
      </c>
      <c r="C163" s="9" t="s">
        <v>163</v>
      </c>
      <c r="D163" s="9" t="s">
        <v>164</v>
      </c>
      <c r="E163" s="34">
        <v>8</v>
      </c>
      <c r="F163" s="35">
        <f>IFERROR(LOOKUP(E163,CODIGOS!A:A,CODIGOS!B:B)," ")</f>
        <v>0</v>
      </c>
      <c r="G163" s="9"/>
      <c r="H163" s="36">
        <v>30</v>
      </c>
      <c r="I163" s="34" t="s">
        <v>152</v>
      </c>
      <c r="J163" s="9"/>
    </row>
    <row r="164" spans="1:10">
      <c r="A164" s="39">
        <v>163</v>
      </c>
      <c r="B164" s="33">
        <v>44977</v>
      </c>
      <c r="C164" s="9">
        <v>2577</v>
      </c>
      <c r="D164" s="9" t="s">
        <v>165</v>
      </c>
      <c r="E164" s="34">
        <v>8</v>
      </c>
      <c r="F164" s="35">
        <f>IFERROR(LOOKUP(E164,CODIGOS!A:A,CODIGOS!B:B)," ")</f>
        <v>0</v>
      </c>
      <c r="G164" s="9"/>
      <c r="H164" s="36">
        <v>20</v>
      </c>
      <c r="I164" s="34"/>
      <c r="J164" s="9"/>
    </row>
    <row r="165" spans="1:10">
      <c r="A165" s="39">
        <v>164</v>
      </c>
      <c r="B165" s="33">
        <v>44977</v>
      </c>
      <c r="C165" s="9">
        <v>2034</v>
      </c>
      <c r="D165" s="9" t="s">
        <v>166</v>
      </c>
      <c r="E165" s="34">
        <v>8</v>
      </c>
      <c r="F165" s="35">
        <f>IFERROR(LOOKUP(E165,CODIGOS!A:A,CODIGOS!B:B)," ")</f>
        <v>0</v>
      </c>
      <c r="G165" s="9"/>
      <c r="H165" s="36">
        <v>20</v>
      </c>
      <c r="I165" s="34"/>
      <c r="J165" s="9"/>
    </row>
    <row r="166" spans="1:10">
      <c r="A166" s="39">
        <v>165</v>
      </c>
      <c r="B166" s="33">
        <v>44977</v>
      </c>
      <c r="C166" s="9">
        <v>1991</v>
      </c>
      <c r="D166" s="9" t="s">
        <v>167</v>
      </c>
      <c r="E166" s="34">
        <v>8</v>
      </c>
      <c r="F166" s="35">
        <f>IFERROR(LOOKUP(E166,CODIGOS!A:A,CODIGOS!B:B)," ")</f>
        <v>0</v>
      </c>
      <c r="G166" s="9"/>
      <c r="H166" s="42">
        <v>20</v>
      </c>
      <c r="I166" s="34"/>
      <c r="J166" s="9"/>
    </row>
    <row r="167" spans="1:10">
      <c r="A167" s="39">
        <v>166</v>
      </c>
      <c r="B167" s="33">
        <v>44977</v>
      </c>
      <c r="C167" s="9">
        <v>2072</v>
      </c>
      <c r="D167" s="9" t="s">
        <v>168</v>
      </c>
      <c r="E167" s="34">
        <v>8</v>
      </c>
      <c r="F167" s="35">
        <f>IFERROR(LOOKUP(E167,CODIGOS!A:A,CODIGOS!B:B)," ")</f>
        <v>0</v>
      </c>
      <c r="G167" s="9"/>
      <c r="H167" s="42">
        <v>20</v>
      </c>
      <c r="I167" s="34"/>
      <c r="J167" s="9"/>
    </row>
    <row r="168" spans="1:10">
      <c r="A168" s="39">
        <v>167</v>
      </c>
      <c r="B168" s="33">
        <v>44977</v>
      </c>
      <c r="C168" s="9">
        <v>2554</v>
      </c>
      <c r="D168" s="9" t="s">
        <v>169</v>
      </c>
      <c r="E168" s="34">
        <v>8</v>
      </c>
      <c r="F168" s="35">
        <f>IFERROR(LOOKUP(E168,CODIGOS!A:A,CODIGOS!B:B)," ")</f>
        <v>0</v>
      </c>
      <c r="G168" s="9"/>
      <c r="H168" s="36">
        <v>20</v>
      </c>
      <c r="I168" s="34"/>
      <c r="J168" s="9"/>
    </row>
    <row r="169" spans="1:10">
      <c r="A169" s="39">
        <v>168</v>
      </c>
      <c r="B169" s="33">
        <v>44977</v>
      </c>
      <c r="C169" s="9">
        <v>2636</v>
      </c>
      <c r="D169" s="9" t="s">
        <v>64</v>
      </c>
      <c r="E169" s="34">
        <v>8</v>
      </c>
      <c r="F169" s="35">
        <f>IFERROR(LOOKUP(E169,CODIGOS!A:A,CODIGOS!B:B)," ")</f>
        <v>0</v>
      </c>
      <c r="G169" s="9"/>
      <c r="H169" s="36">
        <v>20</v>
      </c>
      <c r="I169" s="34"/>
      <c r="J169" s="9"/>
    </row>
    <row r="170" spans="1:10">
      <c r="A170" s="39">
        <v>169</v>
      </c>
      <c r="B170" s="33">
        <v>44977</v>
      </c>
      <c r="C170" s="9">
        <v>2403</v>
      </c>
      <c r="D170" s="9" t="s">
        <v>97</v>
      </c>
      <c r="E170" s="34">
        <v>8</v>
      </c>
      <c r="F170" s="35">
        <f>IFERROR(LOOKUP(E170,CODIGOS!A:A,CODIGOS!B:B)," ")</f>
        <v>0</v>
      </c>
      <c r="G170" s="9"/>
      <c r="H170" s="36">
        <v>20</v>
      </c>
      <c r="I170" s="34" t="s">
        <v>149</v>
      </c>
      <c r="J170" s="9"/>
    </row>
    <row r="171" spans="1:10">
      <c r="A171" s="39">
        <v>170</v>
      </c>
      <c r="B171" s="33">
        <v>44977</v>
      </c>
      <c r="C171" s="9">
        <v>2484</v>
      </c>
      <c r="D171" s="9" t="s">
        <v>65</v>
      </c>
      <c r="E171" s="34">
        <v>8</v>
      </c>
      <c r="F171" s="35">
        <f>IFERROR(LOOKUP(E171,CODIGOS!A:A,CODIGOS!B:B)," ")</f>
        <v>0</v>
      </c>
      <c r="G171" s="9"/>
      <c r="H171" s="36">
        <v>20</v>
      </c>
      <c r="I171" s="34"/>
      <c r="J171" s="9"/>
    </row>
    <row r="172" spans="1:10">
      <c r="A172" s="39">
        <v>171</v>
      </c>
      <c r="B172" s="33">
        <v>44978</v>
      </c>
      <c r="C172" s="40">
        <v>1901</v>
      </c>
      <c r="D172" s="9" t="s">
        <v>170</v>
      </c>
      <c r="E172" s="34">
        <v>8</v>
      </c>
      <c r="F172" s="35">
        <f>IFERROR(LOOKUP(E172,CODIGOS!A:A,CODIGOS!B:B)," ")</f>
        <v>0</v>
      </c>
      <c r="G172" s="9"/>
      <c r="H172" s="36">
        <v>20</v>
      </c>
      <c r="I172" s="34" t="s">
        <v>11</v>
      </c>
      <c r="J172" s="9"/>
    </row>
    <row r="173" spans="1:10">
      <c r="A173" s="39">
        <v>172</v>
      </c>
      <c r="B173" s="33">
        <v>44978</v>
      </c>
      <c r="C173" s="40">
        <v>2674</v>
      </c>
      <c r="D173" s="9" t="s">
        <v>171</v>
      </c>
      <c r="E173" s="34">
        <v>8</v>
      </c>
      <c r="F173" s="35">
        <f>IFERROR(LOOKUP(E173,CODIGOS!A:A,CODIGOS!B:B)," ")</f>
        <v>0</v>
      </c>
      <c r="G173" s="9"/>
      <c r="H173" s="36">
        <v>20</v>
      </c>
      <c r="I173" s="34" t="s">
        <v>11</v>
      </c>
      <c r="J173" s="9"/>
    </row>
    <row r="174" spans="1:10">
      <c r="A174" s="39">
        <v>173</v>
      </c>
      <c r="B174" s="33">
        <v>44978</v>
      </c>
      <c r="C174" s="40">
        <v>2584</v>
      </c>
      <c r="D174" s="9" t="s">
        <v>172</v>
      </c>
      <c r="E174" s="34">
        <v>8</v>
      </c>
      <c r="F174" s="35">
        <f>IFERROR(LOOKUP(E174,CODIGOS!A:A,CODIGOS!B:B)," ")</f>
        <v>0</v>
      </c>
      <c r="G174" s="9"/>
      <c r="H174" s="36">
        <v>20</v>
      </c>
      <c r="I174" s="34" t="s">
        <v>11</v>
      </c>
      <c r="J174" s="9"/>
    </row>
    <row r="175" spans="1:10">
      <c r="A175" s="39">
        <v>174</v>
      </c>
      <c r="B175" s="33">
        <v>44978</v>
      </c>
      <c r="C175" s="40">
        <v>2583</v>
      </c>
      <c r="D175" s="9" t="s">
        <v>173</v>
      </c>
      <c r="E175" s="34">
        <v>8</v>
      </c>
      <c r="F175" s="35">
        <f>IFERROR(LOOKUP(E175,CODIGOS!A:A,CODIGOS!B:B)," ")</f>
        <v>0</v>
      </c>
      <c r="G175" s="9"/>
      <c r="H175" s="36">
        <v>20</v>
      </c>
      <c r="I175" s="34" t="s">
        <v>11</v>
      </c>
      <c r="J175" s="9"/>
    </row>
    <row r="176" spans="1:10">
      <c r="A176" s="39">
        <v>175</v>
      </c>
      <c r="B176" s="33">
        <v>44978</v>
      </c>
      <c r="C176" s="40">
        <v>2615</v>
      </c>
      <c r="D176" s="9" t="s">
        <v>174</v>
      </c>
      <c r="E176" s="34">
        <v>8</v>
      </c>
      <c r="F176" s="35">
        <f>IFERROR(LOOKUP(E176,CODIGOS!A:A,CODIGOS!B:B)," ")</f>
        <v>0</v>
      </c>
      <c r="G176" s="9"/>
      <c r="H176" s="36">
        <v>20</v>
      </c>
      <c r="I176" s="34" t="s">
        <v>11</v>
      </c>
      <c r="J176" s="9"/>
    </row>
    <row r="177" spans="1:10">
      <c r="A177" s="39">
        <v>176</v>
      </c>
      <c r="B177" s="33">
        <v>44978</v>
      </c>
      <c r="C177" s="9" t="s">
        <v>175</v>
      </c>
      <c r="D177" s="9" t="s">
        <v>176</v>
      </c>
      <c r="E177" s="34">
        <v>8</v>
      </c>
      <c r="F177" s="35">
        <f>IFERROR(LOOKUP(E177,CODIGOS!A:A,CODIGOS!B:B)," ")</f>
        <v>0</v>
      </c>
      <c r="G177" s="9"/>
      <c r="H177" s="36">
        <v>30</v>
      </c>
      <c r="I177" s="34" t="s">
        <v>11</v>
      </c>
      <c r="J177" s="9"/>
    </row>
    <row r="178" spans="1:10">
      <c r="A178" s="39">
        <v>177</v>
      </c>
      <c r="B178" s="33">
        <v>44978</v>
      </c>
      <c r="C178" s="40">
        <v>2498</v>
      </c>
      <c r="D178" s="9" t="s">
        <v>177</v>
      </c>
      <c r="E178" s="34">
        <v>8</v>
      </c>
      <c r="F178" s="35">
        <f>IFERROR(LOOKUP(E178,CODIGOS!A:A,CODIGOS!B:B)," ")</f>
        <v>0</v>
      </c>
      <c r="G178" s="9"/>
      <c r="H178" s="36">
        <v>20</v>
      </c>
      <c r="I178" s="34"/>
      <c r="J178" s="9"/>
    </row>
    <row r="179" spans="1:10">
      <c r="A179" s="39">
        <v>178</v>
      </c>
      <c r="B179" s="33">
        <v>44978</v>
      </c>
      <c r="C179" s="40" t="s">
        <v>178</v>
      </c>
      <c r="D179" s="9" t="s">
        <v>179</v>
      </c>
      <c r="E179" s="34">
        <v>8</v>
      </c>
      <c r="F179" s="35">
        <f>IFERROR(LOOKUP(E179,CODIGOS!A:A,CODIGOS!B:B)," ")</f>
        <v>0</v>
      </c>
      <c r="G179" s="9"/>
      <c r="H179" s="36">
        <v>30</v>
      </c>
      <c r="I179" s="34"/>
      <c r="J179" s="9"/>
    </row>
    <row r="180" spans="1:10">
      <c r="A180" s="39">
        <v>179</v>
      </c>
      <c r="B180" s="33">
        <v>44979</v>
      </c>
      <c r="C180" s="40">
        <v>2729</v>
      </c>
      <c r="D180" s="9" t="s">
        <v>180</v>
      </c>
      <c r="E180" s="34">
        <v>55</v>
      </c>
      <c r="F180" s="35">
        <f>IFERROR(LOOKUP(E180,CODIGOS!A:A,CODIGOS!B:B)," ")</f>
        <v>0</v>
      </c>
      <c r="G180" s="9"/>
      <c r="H180" s="36">
        <v>25</v>
      </c>
      <c r="I180" s="34"/>
      <c r="J180" s="9"/>
    </row>
    <row r="181" spans="1:10">
      <c r="A181" s="39">
        <v>180</v>
      </c>
      <c r="B181" s="33">
        <v>44979</v>
      </c>
      <c r="C181" s="40">
        <v>2730</v>
      </c>
      <c r="D181" s="9" t="s">
        <v>181</v>
      </c>
      <c r="E181" s="34">
        <v>55</v>
      </c>
      <c r="F181" s="35">
        <f>IFERROR(LOOKUP(E181,CODIGOS!A:A,CODIGOS!B:B)," ")</f>
        <v>0</v>
      </c>
      <c r="G181" s="9"/>
      <c r="H181" s="36">
        <v>25</v>
      </c>
      <c r="I181" s="34"/>
      <c r="J181" s="9"/>
    </row>
    <row r="182" spans="1:10">
      <c r="A182" s="39">
        <v>181</v>
      </c>
      <c r="B182" s="33">
        <v>44979</v>
      </c>
      <c r="C182" s="40"/>
      <c r="D182" s="9" t="s">
        <v>182</v>
      </c>
      <c r="E182" s="34">
        <v>7</v>
      </c>
      <c r="F182" s="35">
        <f>IFERROR(LOOKUP(E182,CODIGOS!A:A,CODIGOS!B:B)," ")</f>
        <v>0</v>
      </c>
      <c r="G182" s="9"/>
      <c r="H182" s="36">
        <v>5</v>
      </c>
      <c r="I182" s="34"/>
      <c r="J182" s="9"/>
    </row>
    <row r="183" spans="1:10">
      <c r="A183" s="39">
        <v>182</v>
      </c>
      <c r="B183" s="33">
        <v>44979</v>
      </c>
      <c r="C183" s="40"/>
      <c r="D183" s="9" t="s">
        <v>183</v>
      </c>
      <c r="E183" s="34">
        <v>6</v>
      </c>
      <c r="F183" s="35">
        <f>IFERROR(LOOKUP(E183,CODIGOS!A:A,CODIGOS!B:B)," ")</f>
        <v>0</v>
      </c>
      <c r="G183" s="9"/>
      <c r="H183" s="36">
        <v>30</v>
      </c>
      <c r="I183" s="34"/>
      <c r="J183" s="9"/>
    </row>
    <row r="184" spans="1:10">
      <c r="A184" s="39">
        <v>183</v>
      </c>
      <c r="B184" s="33">
        <v>44984</v>
      </c>
      <c r="C184" s="40">
        <v>2721</v>
      </c>
      <c r="D184" s="9" t="s">
        <v>184</v>
      </c>
      <c r="E184" s="34">
        <v>8</v>
      </c>
      <c r="F184" s="35">
        <f>IFERROR(LOOKUP(E184,CODIGOS!A:A,CODIGOS!B:B)," ")</f>
        <v>0</v>
      </c>
      <c r="G184" s="9"/>
      <c r="H184" s="36">
        <v>20</v>
      </c>
      <c r="I184" s="34"/>
      <c r="J184" s="9"/>
    </row>
    <row r="185" spans="1:10">
      <c r="A185" s="39">
        <v>184</v>
      </c>
      <c r="B185" s="33">
        <v>44984</v>
      </c>
      <c r="C185" s="40">
        <v>2731</v>
      </c>
      <c r="D185" s="9" t="s">
        <v>185</v>
      </c>
      <c r="E185" s="34">
        <v>55</v>
      </c>
      <c r="F185" s="35">
        <f>IFERROR(LOOKUP(E185,CODIGOS!A:A,CODIGOS!B:B)," ")</f>
        <v>0</v>
      </c>
      <c r="G185" s="9"/>
      <c r="H185" s="36">
        <v>25</v>
      </c>
      <c r="I185" s="34"/>
      <c r="J185" s="9"/>
    </row>
    <row r="186" spans="1:10">
      <c r="A186" s="39">
        <v>185</v>
      </c>
      <c r="B186" s="33">
        <v>44984</v>
      </c>
      <c r="C186" s="40">
        <v>2732</v>
      </c>
      <c r="D186" s="9" t="s">
        <v>186</v>
      </c>
      <c r="E186" s="34">
        <v>55</v>
      </c>
      <c r="F186" s="35">
        <f>IFERROR(LOOKUP(E186,CODIGOS!A:A,CODIGOS!B:B)," ")</f>
        <v>0</v>
      </c>
      <c r="G186" s="9"/>
      <c r="H186" s="36">
        <v>25</v>
      </c>
      <c r="I186" s="34"/>
      <c r="J186" s="9"/>
    </row>
    <row r="187" spans="1:10">
      <c r="A187" s="39">
        <v>186</v>
      </c>
      <c r="B187" s="33">
        <v>44984</v>
      </c>
      <c r="C187" s="40">
        <v>2565</v>
      </c>
      <c r="D187" s="9" t="s">
        <v>187</v>
      </c>
      <c r="E187" s="34">
        <v>55</v>
      </c>
      <c r="F187" s="35">
        <f>IFERROR(LOOKUP(E187,CODIGOS!A:A,CODIGOS!B:B)," ")</f>
        <v>0</v>
      </c>
      <c r="G187" s="9"/>
      <c r="H187" s="36">
        <v>25</v>
      </c>
      <c r="I187" s="34"/>
      <c r="J187" s="9"/>
    </row>
    <row r="188" spans="1:10">
      <c r="A188" s="39">
        <v>187</v>
      </c>
      <c r="B188" s="33">
        <v>44986</v>
      </c>
      <c r="C188" s="40">
        <v>2498</v>
      </c>
      <c r="D188" s="9" t="s">
        <v>177</v>
      </c>
      <c r="E188" s="34">
        <v>9</v>
      </c>
      <c r="F188" s="35">
        <f>IFERROR(LOOKUP(E188,CODIGOS!A:A,CODIGOS!B:B)," ")</f>
        <v>0</v>
      </c>
      <c r="G188" s="9"/>
      <c r="H188" s="36">
        <v>15</v>
      </c>
      <c r="I188" s="34"/>
      <c r="J188" s="9"/>
    </row>
    <row r="189" spans="1:10">
      <c r="A189" s="39">
        <v>188</v>
      </c>
      <c r="B189" s="33">
        <v>44986</v>
      </c>
      <c r="C189" s="40" t="s">
        <v>178</v>
      </c>
      <c r="D189" s="9" t="s">
        <v>188</v>
      </c>
      <c r="E189" s="34">
        <v>9</v>
      </c>
      <c r="F189" s="35">
        <f>IFERROR(LOOKUP(E189,CODIGOS!A:A,CODIGOS!B:B)," ")</f>
        <v>0</v>
      </c>
      <c r="G189" s="9"/>
      <c r="H189" s="36">
        <v>25</v>
      </c>
      <c r="I189" s="34"/>
      <c r="J189" s="9"/>
    </row>
    <row r="190" spans="1:10">
      <c r="A190" s="39">
        <v>189</v>
      </c>
      <c r="B190" s="33">
        <v>44986</v>
      </c>
      <c r="C190" s="40">
        <v>2456</v>
      </c>
      <c r="D190" s="9" t="s">
        <v>40</v>
      </c>
      <c r="E190" s="34">
        <v>9</v>
      </c>
      <c r="F190" s="35">
        <f>IFERROR(LOOKUP(E190,CODIGOS!A:A,CODIGOS!B:B)," ")</f>
        <v>0</v>
      </c>
      <c r="G190" s="9"/>
      <c r="H190" s="36">
        <v>15</v>
      </c>
      <c r="I190" s="34"/>
      <c r="J190" s="9"/>
    </row>
    <row r="191" spans="1:10">
      <c r="A191" s="39">
        <v>190</v>
      </c>
      <c r="B191" s="33">
        <v>44986</v>
      </c>
      <c r="C191" s="40">
        <v>2414</v>
      </c>
      <c r="D191" s="9" t="s">
        <v>189</v>
      </c>
      <c r="E191" s="34">
        <v>9</v>
      </c>
      <c r="F191" s="35">
        <f>IFERROR(LOOKUP(E191,CODIGOS!A:A,CODIGOS!B:B)," ")</f>
        <v>0</v>
      </c>
      <c r="G191" s="9"/>
      <c r="H191" s="36">
        <v>15</v>
      </c>
      <c r="I191" s="34"/>
      <c r="J191" s="9"/>
    </row>
    <row r="192" spans="1:10">
      <c r="A192" s="39">
        <v>191</v>
      </c>
      <c r="B192" s="33">
        <v>44986</v>
      </c>
      <c r="C192" s="40">
        <v>2571</v>
      </c>
      <c r="D192" s="9" t="s">
        <v>190</v>
      </c>
      <c r="E192" s="34">
        <v>9</v>
      </c>
      <c r="F192" s="35">
        <f>IFERROR(LOOKUP(E192,CODIGOS!A:A,CODIGOS!B:B)," ")</f>
        <v>0</v>
      </c>
      <c r="G192" s="9"/>
      <c r="H192" s="36">
        <v>15</v>
      </c>
      <c r="I192" s="34"/>
      <c r="J192" s="9"/>
    </row>
    <row r="193" spans="1:10">
      <c r="A193" s="39">
        <v>192</v>
      </c>
      <c r="B193" s="33">
        <v>44986</v>
      </c>
      <c r="C193" s="9">
        <v>2102</v>
      </c>
      <c r="D193" s="9" t="s">
        <v>134</v>
      </c>
      <c r="E193" s="34">
        <v>9</v>
      </c>
      <c r="F193" s="35">
        <f>IFERROR(LOOKUP(E193,CODIGOS!A:A,CODIGOS!B:B)," ")</f>
        <v>0</v>
      </c>
      <c r="G193" s="9"/>
      <c r="H193" s="36">
        <v>15</v>
      </c>
      <c r="I193" s="34"/>
      <c r="J193" s="9"/>
    </row>
    <row r="194" spans="1:10">
      <c r="A194" s="39">
        <v>193</v>
      </c>
      <c r="B194" s="33">
        <v>44986</v>
      </c>
      <c r="C194" s="9">
        <v>1391</v>
      </c>
      <c r="D194" s="9" t="s">
        <v>135</v>
      </c>
      <c r="E194" s="34">
        <v>9</v>
      </c>
      <c r="F194" s="35">
        <f>IFERROR(LOOKUP(E194,CODIGOS!A:A,CODIGOS!B:B)," ")</f>
        <v>0</v>
      </c>
      <c r="G194" s="9"/>
      <c r="H194" s="36">
        <v>15</v>
      </c>
      <c r="I194" s="34"/>
      <c r="J194" s="9"/>
    </row>
    <row r="195" spans="1:10">
      <c r="A195" s="39">
        <v>194</v>
      </c>
      <c r="B195" s="33">
        <v>44986</v>
      </c>
      <c r="C195" s="9">
        <v>2324</v>
      </c>
      <c r="D195" s="9" t="s">
        <v>191</v>
      </c>
      <c r="E195" s="34">
        <v>9</v>
      </c>
      <c r="F195" s="35">
        <f>IFERROR(LOOKUP(E195,CODIGOS!A:A,CODIGOS!B:B)," ")</f>
        <v>0</v>
      </c>
      <c r="G195" s="9"/>
      <c r="H195" s="36">
        <v>15</v>
      </c>
      <c r="I195" s="34"/>
      <c r="J195" s="9"/>
    </row>
    <row r="196" spans="1:10">
      <c r="A196" s="39">
        <v>195</v>
      </c>
      <c r="B196" s="33">
        <v>44986</v>
      </c>
      <c r="C196" s="9">
        <v>2392</v>
      </c>
      <c r="D196" s="9" t="s">
        <v>15</v>
      </c>
      <c r="E196" s="34">
        <v>9</v>
      </c>
      <c r="F196" s="35">
        <f>IFERROR(LOOKUP(E196,CODIGOS!A:A,CODIGOS!B:B)," ")</f>
        <v>0</v>
      </c>
      <c r="G196" s="9"/>
      <c r="H196" s="36">
        <v>15</v>
      </c>
      <c r="I196" s="34"/>
      <c r="J196" s="9"/>
    </row>
    <row r="197" spans="1:10">
      <c r="A197" s="39">
        <v>196</v>
      </c>
      <c r="B197" s="33">
        <v>44986</v>
      </c>
      <c r="C197" s="9">
        <v>1897</v>
      </c>
      <c r="D197" s="9" t="s">
        <v>77</v>
      </c>
      <c r="E197" s="34">
        <v>9</v>
      </c>
      <c r="F197" s="35">
        <f>IFERROR(LOOKUP(E197,CODIGOS!A:A,CODIGOS!B:B)," ")</f>
        <v>0</v>
      </c>
      <c r="G197" s="9"/>
      <c r="H197" s="36">
        <v>15</v>
      </c>
      <c r="I197" s="34"/>
      <c r="J197" s="9"/>
    </row>
    <row r="198" spans="1:10">
      <c r="A198" s="39">
        <v>197</v>
      </c>
      <c r="B198" s="33">
        <v>44986</v>
      </c>
      <c r="C198" s="9">
        <v>1898</v>
      </c>
      <c r="D198" s="9" t="s">
        <v>78</v>
      </c>
      <c r="E198" s="34">
        <v>9</v>
      </c>
      <c r="F198" s="35">
        <f>IFERROR(LOOKUP(E198,CODIGOS!A:A,CODIGOS!B:B)," ")</f>
        <v>0</v>
      </c>
      <c r="G198" s="9"/>
      <c r="H198" s="36">
        <v>15</v>
      </c>
      <c r="I198" s="34"/>
      <c r="J198" s="9"/>
    </row>
    <row r="199" spans="1:10">
      <c r="A199" s="39">
        <v>198</v>
      </c>
      <c r="B199" s="33">
        <v>44986</v>
      </c>
      <c r="C199" s="9">
        <v>2632</v>
      </c>
      <c r="D199" s="9" t="s">
        <v>192</v>
      </c>
      <c r="E199" s="34">
        <v>9</v>
      </c>
      <c r="F199" s="35">
        <f>IFERROR(LOOKUP(E199,CODIGOS!A:A,CODIGOS!B:B)," ")</f>
        <v>0</v>
      </c>
      <c r="G199" s="9"/>
      <c r="H199" s="36">
        <v>15</v>
      </c>
      <c r="I199" s="34"/>
      <c r="J199" s="9"/>
    </row>
    <row r="200" spans="1:10">
      <c r="A200" s="39">
        <v>199</v>
      </c>
      <c r="B200" s="33">
        <v>44986</v>
      </c>
      <c r="C200" s="9">
        <v>1141</v>
      </c>
      <c r="D200" s="9" t="s">
        <v>193</v>
      </c>
      <c r="E200" s="34">
        <v>9</v>
      </c>
      <c r="F200" s="35">
        <f>IFERROR(LOOKUP(E200,CODIGOS!A:A,CODIGOS!B:B)," ")</f>
        <v>0</v>
      </c>
      <c r="G200" s="9"/>
      <c r="H200" s="36">
        <v>15</v>
      </c>
      <c r="I200" s="34"/>
      <c r="J200" s="9"/>
    </row>
    <row r="201" spans="1:10">
      <c r="A201" s="39">
        <v>200</v>
      </c>
      <c r="B201" s="33">
        <v>44986</v>
      </c>
      <c r="C201" s="9">
        <v>2719</v>
      </c>
      <c r="D201" s="9" t="s">
        <v>88</v>
      </c>
      <c r="E201" s="34">
        <v>9</v>
      </c>
      <c r="F201" s="35">
        <f>IFERROR(LOOKUP(E201,CODIGOS!A:A,CODIGOS!B:B)," ")</f>
        <v>0</v>
      </c>
      <c r="G201" s="9"/>
      <c r="H201" s="36">
        <v>15</v>
      </c>
      <c r="I201" s="34"/>
      <c r="J201" s="9"/>
    </row>
    <row r="202" spans="1:10">
      <c r="A202" s="39">
        <v>201</v>
      </c>
      <c r="B202" s="33">
        <v>44986</v>
      </c>
      <c r="C202" s="9">
        <v>2303</v>
      </c>
      <c r="D202" s="9" t="s">
        <v>105</v>
      </c>
      <c r="E202" s="34">
        <v>9</v>
      </c>
      <c r="F202" s="35">
        <f>IFERROR(LOOKUP(E202,CODIGOS!A:A,CODIGOS!B:B)," ")</f>
        <v>0</v>
      </c>
      <c r="G202" s="9"/>
      <c r="H202" s="36">
        <v>15</v>
      </c>
      <c r="I202" s="34"/>
      <c r="J202" s="9"/>
    </row>
    <row r="203" spans="1:10">
      <c r="A203" s="39">
        <v>202</v>
      </c>
      <c r="B203" s="33">
        <v>44986</v>
      </c>
      <c r="C203" s="9" t="s">
        <v>107</v>
      </c>
      <c r="D203" s="9" t="s">
        <v>194</v>
      </c>
      <c r="E203" s="34">
        <v>9</v>
      </c>
      <c r="F203" s="35">
        <f>IFERROR(LOOKUP(E203,CODIGOS!A:A,CODIGOS!B:B)," ")</f>
        <v>0</v>
      </c>
      <c r="G203" s="9"/>
      <c r="H203" s="36">
        <v>25</v>
      </c>
      <c r="I203" s="34"/>
      <c r="J203" s="9"/>
    </row>
    <row r="204" spans="1:10">
      <c r="A204" s="39">
        <v>203</v>
      </c>
      <c r="B204" s="33">
        <v>44986</v>
      </c>
      <c r="C204" s="9">
        <v>2129</v>
      </c>
      <c r="D204" s="9" t="s">
        <v>195</v>
      </c>
      <c r="E204" s="34">
        <v>9</v>
      </c>
      <c r="F204" s="35">
        <f>IFERROR(LOOKUP(E204,CODIGOS!A:A,CODIGOS!B:B)," ")</f>
        <v>0</v>
      </c>
      <c r="G204" s="9"/>
      <c r="H204" s="42">
        <v>15</v>
      </c>
      <c r="I204" s="34"/>
      <c r="J204" s="9"/>
    </row>
    <row r="205" spans="1:10">
      <c r="A205" s="39">
        <v>204</v>
      </c>
      <c r="B205" s="33">
        <v>44986</v>
      </c>
      <c r="C205" s="9">
        <v>2318</v>
      </c>
      <c r="D205" s="9" t="s">
        <v>196</v>
      </c>
      <c r="E205" s="34">
        <v>9</v>
      </c>
      <c r="F205" s="35">
        <f>IFERROR(LOOKUP(E205,CODIGOS!A:A,CODIGOS!B:B)," ")</f>
        <v>0</v>
      </c>
      <c r="G205" s="9"/>
      <c r="H205" s="42">
        <v>15</v>
      </c>
      <c r="I205" s="34"/>
      <c r="J205" s="9"/>
    </row>
    <row r="206" spans="1:10">
      <c r="A206" s="39">
        <v>205</v>
      </c>
      <c r="B206" s="33">
        <v>44986</v>
      </c>
      <c r="C206" s="9">
        <v>2317</v>
      </c>
      <c r="D206" s="9" t="s">
        <v>197</v>
      </c>
      <c r="E206" s="34">
        <v>9</v>
      </c>
      <c r="F206" s="35">
        <f>IFERROR(LOOKUP(E206,CODIGOS!A:A,CODIGOS!B:B)," ")</f>
        <v>0</v>
      </c>
      <c r="G206" s="9"/>
      <c r="H206" s="36">
        <v>15</v>
      </c>
      <c r="I206" s="34"/>
      <c r="J206" s="9"/>
    </row>
    <row r="207" spans="1:10">
      <c r="A207" s="39">
        <v>206</v>
      </c>
      <c r="B207" s="33">
        <v>44986</v>
      </c>
      <c r="C207" s="9">
        <v>2702</v>
      </c>
      <c r="D207" s="9" t="s">
        <v>198</v>
      </c>
      <c r="E207" s="34">
        <v>9</v>
      </c>
      <c r="F207" s="35">
        <f>IFERROR(LOOKUP(E207,CODIGOS!A:A,CODIGOS!B:B)," ")</f>
        <v>0</v>
      </c>
      <c r="G207" s="9"/>
      <c r="H207" s="36">
        <v>15</v>
      </c>
      <c r="I207" s="34"/>
      <c r="J207" s="9"/>
    </row>
    <row r="208" spans="1:10">
      <c r="A208" s="39">
        <v>207</v>
      </c>
      <c r="B208" s="33">
        <v>44986</v>
      </c>
      <c r="C208" s="9">
        <v>2527</v>
      </c>
      <c r="D208" s="9" t="s">
        <v>199</v>
      </c>
      <c r="E208" s="34">
        <v>9</v>
      </c>
      <c r="F208" s="35">
        <f>IFERROR(LOOKUP(E208,CODIGOS!A:A,CODIGOS!B:B)," ")</f>
        <v>0</v>
      </c>
      <c r="G208" s="9"/>
      <c r="H208" s="36">
        <v>15</v>
      </c>
      <c r="I208" s="34"/>
      <c r="J208" s="9"/>
    </row>
    <row r="209" spans="1:10">
      <c r="A209" s="39">
        <v>208</v>
      </c>
      <c r="B209" s="33">
        <v>44986</v>
      </c>
      <c r="C209" s="9">
        <v>2314</v>
      </c>
      <c r="D209" s="9" t="s">
        <v>120</v>
      </c>
      <c r="E209" s="34">
        <v>9</v>
      </c>
      <c r="F209" s="35">
        <f>IFERROR(LOOKUP(E209,CODIGOS!A:A,CODIGOS!B:B)," ")</f>
        <v>0</v>
      </c>
      <c r="G209" s="9"/>
      <c r="H209" s="36">
        <v>15</v>
      </c>
      <c r="I209" s="34"/>
      <c r="J209" s="9"/>
    </row>
    <row r="210" spans="1:10">
      <c r="A210" s="39">
        <v>209</v>
      </c>
      <c r="B210" s="33">
        <v>44986</v>
      </c>
      <c r="C210" s="9">
        <v>2315</v>
      </c>
      <c r="D210" s="9" t="s">
        <v>200</v>
      </c>
      <c r="E210" s="34">
        <v>9</v>
      </c>
      <c r="F210" s="35">
        <f>IFERROR(LOOKUP(E210,CODIGOS!A:A,CODIGOS!B:B)," ")</f>
        <v>0</v>
      </c>
      <c r="G210" s="9"/>
      <c r="H210" s="36">
        <v>15</v>
      </c>
      <c r="I210" s="34"/>
      <c r="J210" s="9"/>
    </row>
    <row r="211" spans="1:10">
      <c r="A211" s="39">
        <v>210</v>
      </c>
      <c r="B211" s="33">
        <v>44986</v>
      </c>
      <c r="C211" s="9">
        <v>2553</v>
      </c>
      <c r="D211" s="9" t="s">
        <v>201</v>
      </c>
      <c r="E211" s="34">
        <v>9</v>
      </c>
      <c r="F211" s="35">
        <f>IFERROR(LOOKUP(E211,CODIGOS!A:A,CODIGOS!B:B)," ")</f>
        <v>0</v>
      </c>
      <c r="G211" s="9"/>
      <c r="H211" s="36">
        <v>15</v>
      </c>
      <c r="I211" s="34"/>
      <c r="J211" s="9"/>
    </row>
    <row r="212" spans="1:10">
      <c r="A212" s="39">
        <v>211</v>
      </c>
      <c r="B212" s="33">
        <v>44986</v>
      </c>
      <c r="C212" s="9">
        <v>2338</v>
      </c>
      <c r="D212" s="9" t="s">
        <v>202</v>
      </c>
      <c r="E212" s="34">
        <v>8</v>
      </c>
      <c r="F212" s="35">
        <f>IFERROR(LOOKUP(E212,CODIGOS!A:A,CODIGOS!B:B)," ")</f>
        <v>0</v>
      </c>
      <c r="G212" s="9"/>
      <c r="H212" s="36">
        <v>20</v>
      </c>
      <c r="I212" s="34"/>
      <c r="J212" s="9"/>
    </row>
    <row r="213" spans="1:10">
      <c r="A213" s="39">
        <v>212</v>
      </c>
      <c r="B213" s="33">
        <v>44991</v>
      </c>
      <c r="C213" s="40">
        <v>1823</v>
      </c>
      <c r="D213" s="9" t="s">
        <v>113</v>
      </c>
      <c r="E213" s="34">
        <v>9</v>
      </c>
      <c r="F213" s="35">
        <f>IFERROR(LOOKUP(E213,CODIGOS!A:A,CODIGOS!B:B)," ")</f>
        <v>0</v>
      </c>
      <c r="G213" s="9"/>
      <c r="H213" s="36">
        <v>15</v>
      </c>
      <c r="I213" s="34" t="s">
        <v>11</v>
      </c>
      <c r="J213" s="9"/>
    </row>
    <row r="214" spans="1:10">
      <c r="A214" s="39">
        <v>213</v>
      </c>
      <c r="B214" s="33">
        <v>44991</v>
      </c>
      <c r="C214" s="40" t="s">
        <v>108</v>
      </c>
      <c r="D214" s="9" t="s">
        <v>203</v>
      </c>
      <c r="E214" s="34">
        <v>9</v>
      </c>
      <c r="F214" s="35">
        <f>IFERROR(LOOKUP(E214,CODIGOS!A:A,CODIGOS!B:B)," ")</f>
        <v>0</v>
      </c>
      <c r="G214" s="9"/>
      <c r="H214" s="36">
        <v>15</v>
      </c>
      <c r="I214" s="34" t="s">
        <v>20</v>
      </c>
      <c r="J214" s="9"/>
    </row>
    <row r="215" spans="1:10">
      <c r="A215" s="39">
        <v>214</v>
      </c>
      <c r="B215" s="33">
        <v>44991</v>
      </c>
      <c r="C215" s="40">
        <v>1920</v>
      </c>
      <c r="D215" s="9" t="s">
        <v>204</v>
      </c>
      <c r="E215" s="34">
        <v>9</v>
      </c>
      <c r="F215" s="35">
        <f>IFERROR(LOOKUP(E215,CODIGOS!A:A,CODIGOS!B:B)," ")</f>
        <v>0</v>
      </c>
      <c r="G215" s="9"/>
      <c r="H215" s="36">
        <v>15</v>
      </c>
      <c r="I215" s="34" t="s">
        <v>11</v>
      </c>
      <c r="J215" s="9"/>
    </row>
    <row r="216" spans="1:10">
      <c r="A216" s="39">
        <v>215</v>
      </c>
      <c r="B216" s="33">
        <v>44991</v>
      </c>
      <c r="C216" s="40" t="s">
        <v>205</v>
      </c>
      <c r="D216" s="9" t="s">
        <v>206</v>
      </c>
      <c r="E216" s="34">
        <v>9</v>
      </c>
      <c r="F216" s="35">
        <f>IFERROR(LOOKUP(E216,CODIGOS!A:A,CODIGOS!B:B)," ")</f>
        <v>0</v>
      </c>
      <c r="G216" s="9"/>
      <c r="H216" s="36">
        <v>15</v>
      </c>
      <c r="I216" s="34" t="s">
        <v>20</v>
      </c>
      <c r="J216" s="9"/>
    </row>
    <row r="217" spans="1:10">
      <c r="A217" s="39">
        <v>216</v>
      </c>
      <c r="B217" s="33">
        <v>44992</v>
      </c>
      <c r="C217" s="40">
        <v>1944</v>
      </c>
      <c r="D217" s="9" t="s">
        <v>207</v>
      </c>
      <c r="E217" s="34">
        <v>10</v>
      </c>
      <c r="F217" s="35" t="str">
        <f>IFERROR(LOOKUP(E217,CODIGOS!A:A,CODIGOS!B:B)," ")</f>
        <v>ÓRGIVA</v>
      </c>
      <c r="G217" s="9"/>
      <c r="H217" s="36">
        <v>5</v>
      </c>
      <c r="I217" s="34" t="s">
        <v>11</v>
      </c>
      <c r="J217" s="9"/>
    </row>
    <row r="218" spans="1:10">
      <c r="A218" s="39">
        <v>217</v>
      </c>
      <c r="B218" s="33">
        <v>44992</v>
      </c>
      <c r="C218" s="40" t="s">
        <v>161</v>
      </c>
      <c r="D218" s="9" t="s">
        <v>208</v>
      </c>
      <c r="E218" s="34">
        <v>10</v>
      </c>
      <c r="F218" s="35" t="str">
        <f>IFERROR(LOOKUP(E218,CODIGOS!A:A,CODIGOS!B:B)," ")</f>
        <v>ÓRGIVA</v>
      </c>
      <c r="G218" s="9"/>
      <c r="H218" s="36">
        <v>10</v>
      </c>
      <c r="I218" s="34" t="s">
        <v>20</v>
      </c>
      <c r="J218" s="9"/>
    </row>
    <row r="219" spans="1:10">
      <c r="A219" s="39">
        <v>218</v>
      </c>
      <c r="B219" s="33">
        <v>44992</v>
      </c>
      <c r="C219" s="40">
        <v>2511</v>
      </c>
      <c r="D219" s="9" t="s">
        <v>209</v>
      </c>
      <c r="E219" s="34">
        <v>10</v>
      </c>
      <c r="F219" s="35" t="str">
        <f>IFERROR(LOOKUP(E219,CODIGOS!A:A,CODIGOS!B:B)," ")</f>
        <v>ÓRGIVA</v>
      </c>
      <c r="G219" s="9"/>
      <c r="H219" s="36">
        <v>5</v>
      </c>
      <c r="I219" s="34" t="s">
        <v>11</v>
      </c>
      <c r="J219" s="9"/>
    </row>
    <row r="220" spans="1:10">
      <c r="A220" s="39">
        <v>219</v>
      </c>
      <c r="B220" s="33">
        <v>44992</v>
      </c>
      <c r="C220" s="40">
        <v>2291</v>
      </c>
      <c r="D220" s="9" t="s">
        <v>210</v>
      </c>
      <c r="E220" s="34">
        <v>10</v>
      </c>
      <c r="F220" s="35" t="str">
        <f>IFERROR(LOOKUP(E220,CODIGOS!A:A,CODIGOS!B:B)," ")</f>
        <v>ÓRGIVA</v>
      </c>
      <c r="G220" s="9"/>
      <c r="H220" s="36">
        <v>5</v>
      </c>
      <c r="I220" s="34" t="s">
        <v>11</v>
      </c>
      <c r="J220" s="9"/>
    </row>
    <row r="221" spans="1:10">
      <c r="A221" s="39">
        <v>220</v>
      </c>
      <c r="B221" s="33">
        <v>44992</v>
      </c>
      <c r="C221" s="40">
        <v>1396</v>
      </c>
      <c r="D221" s="9" t="s">
        <v>211</v>
      </c>
      <c r="E221" s="34">
        <v>10</v>
      </c>
      <c r="F221" s="35" t="str">
        <f>IFERROR(LOOKUP(E221,CODIGOS!A:A,CODIGOS!B:B)," ")</f>
        <v>ÓRGIVA</v>
      </c>
      <c r="G221" s="9"/>
      <c r="H221" s="36">
        <v>5</v>
      </c>
      <c r="I221" s="34" t="s">
        <v>11</v>
      </c>
      <c r="J221" s="9"/>
    </row>
    <row r="222" spans="1:10">
      <c r="A222" s="39">
        <v>221</v>
      </c>
      <c r="B222" s="33">
        <v>44992</v>
      </c>
      <c r="C222" s="9">
        <v>2645</v>
      </c>
      <c r="D222" s="9" t="s">
        <v>212</v>
      </c>
      <c r="E222" s="34">
        <v>10</v>
      </c>
      <c r="F222" s="35" t="str">
        <f>IFERROR(LOOKUP(E222,CODIGOS!A:A,CODIGOS!B:B)," ")</f>
        <v>ÓRGIVA</v>
      </c>
      <c r="G222" s="9"/>
      <c r="H222" s="36">
        <v>5</v>
      </c>
      <c r="I222" s="34" t="s">
        <v>11</v>
      </c>
      <c r="J222" s="9"/>
    </row>
    <row r="223" spans="1:10">
      <c r="A223" s="39">
        <v>222</v>
      </c>
      <c r="B223" s="33">
        <v>44992</v>
      </c>
      <c r="C223" s="9">
        <v>2019</v>
      </c>
      <c r="D223" s="9" t="s">
        <v>213</v>
      </c>
      <c r="E223" s="34">
        <v>10</v>
      </c>
      <c r="F223" s="35" t="str">
        <f>IFERROR(LOOKUP(E223,CODIGOS!A:A,CODIGOS!B:B)," ")</f>
        <v>ÓRGIVA</v>
      </c>
      <c r="G223" s="9"/>
      <c r="H223" s="36">
        <v>5</v>
      </c>
      <c r="I223" s="34" t="s">
        <v>11</v>
      </c>
      <c r="J223" s="9"/>
    </row>
    <row r="224" spans="1:10">
      <c r="A224" s="39">
        <v>223</v>
      </c>
      <c r="B224" s="33">
        <v>44992</v>
      </c>
      <c r="C224" s="9">
        <v>2579</v>
      </c>
      <c r="D224" s="9" t="s">
        <v>214</v>
      </c>
      <c r="E224" s="34">
        <v>10</v>
      </c>
      <c r="F224" s="35" t="str">
        <f>IFERROR(LOOKUP(E224,CODIGOS!A:A,CODIGOS!B:B)," ")</f>
        <v>ÓRGIVA</v>
      </c>
      <c r="G224" s="9"/>
      <c r="H224" s="36">
        <v>5</v>
      </c>
      <c r="I224" s="34" t="s">
        <v>11</v>
      </c>
      <c r="J224" s="9"/>
    </row>
    <row r="225" spans="1:10">
      <c r="A225" s="39">
        <v>224</v>
      </c>
      <c r="B225" s="33">
        <v>44992</v>
      </c>
      <c r="C225" s="40">
        <v>2581</v>
      </c>
      <c r="D225" s="9" t="s">
        <v>215</v>
      </c>
      <c r="E225" s="34">
        <v>6</v>
      </c>
      <c r="F225" s="35">
        <f>IFERROR(LOOKUP(E225,CODIGOS!A:A,CODIGOS!B:B)," ")</f>
        <v>0</v>
      </c>
      <c r="G225" s="9"/>
      <c r="H225" s="36">
        <v>-20</v>
      </c>
      <c r="I225" s="34"/>
      <c r="J225" s="9"/>
    </row>
    <row r="226" spans="1:10" ht="15">
      <c r="A226" s="39">
        <v>225</v>
      </c>
      <c r="B226" s="33">
        <v>44998</v>
      </c>
      <c r="C226" s="40">
        <v>2721</v>
      </c>
      <c r="D226" s="9" t="s">
        <v>216</v>
      </c>
      <c r="E226" s="34">
        <v>11</v>
      </c>
      <c r="F226" s="35" t="str">
        <f>IFERROR(LOOKUP(E226,CODIGOS!A:A,CODIGOS!B:B)," ")</f>
        <v>OLLA SAN ANTÓN</v>
      </c>
      <c r="G226" s="9"/>
      <c r="H226" s="36">
        <v>33</v>
      </c>
      <c r="I226" s="5"/>
      <c r="J226" s="9"/>
    </row>
    <row r="227" spans="1:10" ht="15">
      <c r="A227" s="39">
        <v>226</v>
      </c>
      <c r="B227" s="33">
        <v>44998</v>
      </c>
      <c r="C227" s="40">
        <v>2561</v>
      </c>
      <c r="D227" s="9" t="s">
        <v>217</v>
      </c>
      <c r="E227" s="34">
        <v>11</v>
      </c>
      <c r="F227" s="35" t="str">
        <f>IFERROR(LOOKUP(E227,CODIGOS!A:A,CODIGOS!B:B)," ")</f>
        <v>OLLA SAN ANTÓN</v>
      </c>
      <c r="G227" s="9"/>
      <c r="H227" s="36">
        <v>33</v>
      </c>
      <c r="I227" s="5"/>
      <c r="J227" s="9"/>
    </row>
    <row r="228" spans="1:10" ht="15">
      <c r="A228" s="39">
        <v>227</v>
      </c>
      <c r="B228" s="33">
        <v>44998</v>
      </c>
      <c r="C228" s="40">
        <v>1141</v>
      </c>
      <c r="D228" s="9" t="s">
        <v>218</v>
      </c>
      <c r="E228" s="34">
        <v>11</v>
      </c>
      <c r="F228" s="35" t="str">
        <f>IFERROR(LOOKUP(E228,CODIGOS!A:A,CODIGOS!B:B)," ")</f>
        <v>OLLA SAN ANTÓN</v>
      </c>
      <c r="G228" s="9"/>
      <c r="H228" s="36">
        <v>33</v>
      </c>
      <c r="I228" s="5"/>
      <c r="J228" s="9"/>
    </row>
    <row r="229" spans="1:10" ht="15">
      <c r="A229" s="39">
        <v>228</v>
      </c>
      <c r="B229" s="33">
        <v>44998</v>
      </c>
      <c r="C229" s="40">
        <v>2719</v>
      </c>
      <c r="D229" s="9" t="s">
        <v>219</v>
      </c>
      <c r="E229" s="34">
        <v>11</v>
      </c>
      <c r="F229" s="35" t="str">
        <f>IFERROR(LOOKUP(E229,CODIGOS!A:A,CODIGOS!B:B)," ")</f>
        <v>OLLA SAN ANTÓN</v>
      </c>
      <c r="G229" s="9"/>
      <c r="H229" s="36">
        <v>33</v>
      </c>
      <c r="I229" s="5"/>
      <c r="J229" s="9"/>
    </row>
    <row r="230" spans="1:10" ht="15">
      <c r="A230" s="39">
        <v>229</v>
      </c>
      <c r="B230" s="33">
        <v>44998</v>
      </c>
      <c r="C230" s="40">
        <v>1391</v>
      </c>
      <c r="D230" s="9" t="s">
        <v>220</v>
      </c>
      <c r="E230" s="34">
        <v>11</v>
      </c>
      <c r="F230" s="35" t="str">
        <f>IFERROR(LOOKUP(E230,CODIGOS!A:A,CODIGOS!B:B)," ")</f>
        <v>OLLA SAN ANTÓN</v>
      </c>
      <c r="G230" s="9"/>
      <c r="H230" s="36">
        <v>33</v>
      </c>
      <c r="I230" s="5"/>
      <c r="J230" s="9"/>
    </row>
    <row r="231" spans="1:10" ht="15">
      <c r="A231" s="39">
        <v>230</v>
      </c>
      <c r="B231" s="33">
        <v>44998</v>
      </c>
      <c r="C231" s="9">
        <v>2102</v>
      </c>
      <c r="D231" s="9" t="s">
        <v>221</v>
      </c>
      <c r="E231" s="34">
        <v>11</v>
      </c>
      <c r="F231" s="35" t="str">
        <f>IFERROR(LOOKUP(E231,CODIGOS!A:A,CODIGOS!B:B)," ")</f>
        <v>OLLA SAN ANTÓN</v>
      </c>
      <c r="G231" s="9"/>
      <c r="H231" s="36">
        <v>33</v>
      </c>
      <c r="I231" s="5"/>
      <c r="J231" s="9"/>
    </row>
    <row r="232" spans="1:10" ht="15">
      <c r="A232" s="39">
        <v>231</v>
      </c>
      <c r="B232" s="33">
        <v>44998</v>
      </c>
      <c r="C232" s="9">
        <v>2462</v>
      </c>
      <c r="D232" s="9" t="s">
        <v>222</v>
      </c>
      <c r="E232" s="34">
        <v>11</v>
      </c>
      <c r="F232" s="35" t="str">
        <f>IFERROR(LOOKUP(E232,CODIGOS!A:A,CODIGOS!B:B)," ")</f>
        <v>OLLA SAN ANTÓN</v>
      </c>
      <c r="G232" s="9"/>
      <c r="H232" s="36">
        <v>33</v>
      </c>
      <c r="I232" s="5"/>
      <c r="J232" s="9"/>
    </row>
    <row r="233" spans="1:10" ht="15">
      <c r="A233" s="39">
        <v>232</v>
      </c>
      <c r="B233" s="33">
        <v>44998</v>
      </c>
      <c r="C233" s="9">
        <v>2581</v>
      </c>
      <c r="D233" s="9" t="s">
        <v>223</v>
      </c>
      <c r="E233" s="34">
        <v>11</v>
      </c>
      <c r="F233" s="35" t="str">
        <f>IFERROR(LOOKUP(E233,CODIGOS!A:A,CODIGOS!B:B)," ")</f>
        <v>OLLA SAN ANTÓN</v>
      </c>
      <c r="G233" s="9"/>
      <c r="H233" s="36">
        <v>33</v>
      </c>
      <c r="I233" s="5"/>
      <c r="J233" s="9"/>
    </row>
    <row r="234" spans="1:10" ht="15">
      <c r="A234" s="39">
        <v>233</v>
      </c>
      <c r="B234" s="33">
        <v>44998</v>
      </c>
      <c r="C234" s="9">
        <v>2521</v>
      </c>
      <c r="D234" s="9" t="s">
        <v>224</v>
      </c>
      <c r="E234" s="34">
        <v>11</v>
      </c>
      <c r="F234" s="35" t="str">
        <f>IFERROR(LOOKUP(E234,CODIGOS!A:A,CODIGOS!B:B)," ")</f>
        <v>OLLA SAN ANTÓN</v>
      </c>
      <c r="G234" s="9"/>
      <c r="H234" s="36">
        <v>33</v>
      </c>
      <c r="I234" s="5"/>
      <c r="J234" s="9"/>
    </row>
    <row r="235" spans="1:10" ht="15">
      <c r="A235" s="39">
        <v>234</v>
      </c>
      <c r="B235" s="33">
        <v>44998</v>
      </c>
      <c r="C235" s="9">
        <v>2351</v>
      </c>
      <c r="D235" s="9" t="s">
        <v>225</v>
      </c>
      <c r="E235" s="34">
        <v>11</v>
      </c>
      <c r="F235" s="35" t="str">
        <f>IFERROR(LOOKUP(E235,CODIGOS!A:A,CODIGOS!B:B)," ")</f>
        <v>OLLA SAN ANTÓN</v>
      </c>
      <c r="G235" s="9"/>
      <c r="H235" s="36">
        <v>33</v>
      </c>
      <c r="I235" s="5"/>
      <c r="J235" s="9"/>
    </row>
    <row r="236" spans="1:10" ht="15">
      <c r="A236" s="39">
        <v>235</v>
      </c>
      <c r="B236" s="33">
        <v>44998</v>
      </c>
      <c r="C236" s="9">
        <v>2318</v>
      </c>
      <c r="D236" s="9" t="s">
        <v>226</v>
      </c>
      <c r="E236" s="34">
        <v>11</v>
      </c>
      <c r="F236" s="35" t="str">
        <f>IFERROR(LOOKUP(E236,CODIGOS!A:A,CODIGOS!B:B)," ")</f>
        <v>OLLA SAN ANTÓN</v>
      </c>
      <c r="G236" s="9"/>
      <c r="H236" s="36">
        <v>33</v>
      </c>
      <c r="I236" s="5"/>
      <c r="J236" s="9"/>
    </row>
    <row r="237" spans="1:10" ht="15">
      <c r="A237" s="39">
        <v>236</v>
      </c>
      <c r="B237" s="33">
        <v>44998</v>
      </c>
      <c r="C237" s="9">
        <v>2317</v>
      </c>
      <c r="D237" s="9" t="s">
        <v>227</v>
      </c>
      <c r="E237" s="34">
        <v>11</v>
      </c>
      <c r="F237" s="35" t="str">
        <f>IFERROR(LOOKUP(E237,CODIGOS!A:A,CODIGOS!B:B)," ")</f>
        <v>OLLA SAN ANTÓN</v>
      </c>
      <c r="G237" s="9"/>
      <c r="H237" s="36">
        <v>33</v>
      </c>
      <c r="I237" s="5"/>
      <c r="J237" s="9"/>
    </row>
    <row r="238" spans="1:10" ht="15">
      <c r="A238" s="39">
        <v>237</v>
      </c>
      <c r="B238" s="33">
        <v>44998</v>
      </c>
      <c r="C238" s="9">
        <v>2539</v>
      </c>
      <c r="D238" s="9" t="s">
        <v>228</v>
      </c>
      <c r="E238" s="34">
        <v>11</v>
      </c>
      <c r="F238" s="35" t="str">
        <f>IFERROR(LOOKUP(E238,CODIGOS!A:A,CODIGOS!B:B)," ")</f>
        <v>OLLA SAN ANTÓN</v>
      </c>
      <c r="G238" s="9"/>
      <c r="H238" s="36">
        <v>33</v>
      </c>
      <c r="I238" s="5"/>
      <c r="J238" s="9"/>
    </row>
    <row r="239" spans="1:10" ht="15">
      <c r="A239" s="39">
        <v>238</v>
      </c>
      <c r="B239" s="33">
        <v>44998</v>
      </c>
      <c r="C239" s="9">
        <v>2654</v>
      </c>
      <c r="D239" s="9" t="s">
        <v>229</v>
      </c>
      <c r="E239" s="34">
        <v>11</v>
      </c>
      <c r="F239" s="35" t="str">
        <f>IFERROR(LOOKUP(E239,CODIGOS!A:A,CODIGOS!B:B)," ")</f>
        <v>OLLA SAN ANTÓN</v>
      </c>
      <c r="G239" s="9"/>
      <c r="H239" s="36">
        <v>33</v>
      </c>
      <c r="I239" s="5"/>
      <c r="J239" s="9"/>
    </row>
    <row r="240" spans="1:10" ht="15">
      <c r="A240" s="39">
        <v>239</v>
      </c>
      <c r="B240" s="33">
        <v>44998</v>
      </c>
      <c r="C240" s="9">
        <v>2481</v>
      </c>
      <c r="D240" s="9" t="s">
        <v>230</v>
      </c>
      <c r="E240" s="34">
        <v>11</v>
      </c>
      <c r="F240" s="35" t="str">
        <f>IFERROR(LOOKUP(E240,CODIGOS!A:A,CODIGOS!B:B)," ")</f>
        <v>OLLA SAN ANTÓN</v>
      </c>
      <c r="G240" s="9"/>
      <c r="H240" s="36">
        <v>33</v>
      </c>
      <c r="I240" s="5"/>
      <c r="J240" s="9"/>
    </row>
    <row r="241" spans="1:10" ht="15">
      <c r="A241" s="39">
        <v>240</v>
      </c>
      <c r="B241" s="33">
        <v>44998</v>
      </c>
      <c r="C241" s="9">
        <v>2732</v>
      </c>
      <c r="D241" s="9" t="s">
        <v>231</v>
      </c>
      <c r="E241" s="34">
        <v>11</v>
      </c>
      <c r="F241" s="35" t="str">
        <f>IFERROR(LOOKUP(E241,CODIGOS!A:A,CODIGOS!B:B)," ")</f>
        <v>OLLA SAN ANTÓN</v>
      </c>
      <c r="G241" s="9"/>
      <c r="H241" s="36">
        <v>33</v>
      </c>
      <c r="I241" s="5"/>
      <c r="J241" s="9"/>
    </row>
    <row r="242" spans="1:10" ht="15">
      <c r="A242" s="39">
        <v>241</v>
      </c>
      <c r="B242" s="33">
        <v>44998</v>
      </c>
      <c r="C242" s="9">
        <v>2729</v>
      </c>
      <c r="D242" s="9" t="s">
        <v>232</v>
      </c>
      <c r="E242" s="34">
        <v>11</v>
      </c>
      <c r="F242" s="35" t="str">
        <f>IFERROR(LOOKUP(E242,CODIGOS!A:A,CODIGOS!B:B)," ")</f>
        <v>OLLA SAN ANTÓN</v>
      </c>
      <c r="G242" s="9"/>
      <c r="H242" s="42">
        <v>33</v>
      </c>
      <c r="I242" s="5"/>
      <c r="J242" s="9"/>
    </row>
    <row r="243" spans="1:10" ht="15">
      <c r="A243" s="39">
        <v>242</v>
      </c>
      <c r="B243" s="33">
        <v>44998</v>
      </c>
      <c r="C243" s="9">
        <v>2702</v>
      </c>
      <c r="D243" s="9" t="s">
        <v>233</v>
      </c>
      <c r="E243" s="34">
        <v>11</v>
      </c>
      <c r="F243" s="35" t="str">
        <f>IFERROR(LOOKUP(E243,CODIGOS!A:A,CODIGOS!B:B)," ")</f>
        <v>OLLA SAN ANTÓN</v>
      </c>
      <c r="G243" s="9"/>
      <c r="H243" s="42">
        <v>33</v>
      </c>
      <c r="I243" s="5"/>
      <c r="J243" s="9"/>
    </row>
    <row r="244" spans="1:10" ht="15">
      <c r="A244" s="39">
        <v>243</v>
      </c>
      <c r="B244" s="33">
        <v>44998</v>
      </c>
      <c r="C244" s="9">
        <v>2729</v>
      </c>
      <c r="D244" s="9" t="s">
        <v>232</v>
      </c>
      <c r="E244" s="34">
        <v>10</v>
      </c>
      <c r="F244" s="35" t="str">
        <f>IFERROR(LOOKUP(E244,CODIGOS!A:A,CODIGOS!B:B)," ")</f>
        <v>ÓRGIVA</v>
      </c>
      <c r="G244" s="9"/>
      <c r="H244" s="36">
        <v>5</v>
      </c>
      <c r="I244" s="5"/>
      <c r="J244" s="9"/>
    </row>
    <row r="245" spans="1:10" ht="15">
      <c r="A245" s="39">
        <v>244</v>
      </c>
      <c r="B245" s="33">
        <v>44998</v>
      </c>
      <c r="C245" s="9">
        <v>2527</v>
      </c>
      <c r="D245" s="9" t="s">
        <v>234</v>
      </c>
      <c r="E245" s="34">
        <v>11</v>
      </c>
      <c r="F245" s="35" t="str">
        <f>IFERROR(LOOKUP(E245,CODIGOS!A:A,CODIGOS!B:B)," ")</f>
        <v>OLLA SAN ANTÓN</v>
      </c>
      <c r="G245" s="9"/>
      <c r="H245" s="36">
        <v>33</v>
      </c>
      <c r="I245" s="5"/>
      <c r="J245" s="9"/>
    </row>
    <row r="246" spans="1:10" ht="15">
      <c r="A246" s="39">
        <v>245</v>
      </c>
      <c r="B246" s="33">
        <v>44998</v>
      </c>
      <c r="C246" s="9">
        <v>2567</v>
      </c>
      <c r="D246" s="9" t="s">
        <v>235</v>
      </c>
      <c r="E246" s="34">
        <v>11</v>
      </c>
      <c r="F246" s="35" t="str">
        <f>IFERROR(LOOKUP(E246,CODIGOS!A:A,CODIGOS!B:B)," ")</f>
        <v>OLLA SAN ANTÓN</v>
      </c>
      <c r="G246" s="9"/>
      <c r="H246" s="36">
        <v>33</v>
      </c>
      <c r="I246" s="5"/>
      <c r="J246" s="9"/>
    </row>
    <row r="247" spans="1:10" ht="15">
      <c r="A247" s="39">
        <v>246</v>
      </c>
      <c r="B247" s="33">
        <v>44998</v>
      </c>
      <c r="C247" s="9">
        <v>2568</v>
      </c>
      <c r="D247" s="9" t="s">
        <v>236</v>
      </c>
      <c r="E247" s="34">
        <v>11</v>
      </c>
      <c r="F247" s="35" t="str">
        <f>IFERROR(LOOKUP(E247,CODIGOS!A:A,CODIGOS!B:B)," ")</f>
        <v>OLLA SAN ANTÓN</v>
      </c>
      <c r="G247" s="9"/>
      <c r="H247" s="36">
        <v>33</v>
      </c>
      <c r="I247" s="5"/>
      <c r="J247" s="9"/>
    </row>
    <row r="248" spans="1:10" ht="15">
      <c r="A248" s="39">
        <v>247</v>
      </c>
      <c r="B248" s="33">
        <v>44998</v>
      </c>
      <c r="C248" s="9">
        <v>2565</v>
      </c>
      <c r="D248" s="9" t="s">
        <v>237</v>
      </c>
      <c r="E248" s="34">
        <v>55</v>
      </c>
      <c r="F248" s="35">
        <f>IFERROR(LOOKUP(E248,CODIGOS!A:A,CODIGOS!B:B)," ")</f>
        <v>0</v>
      </c>
      <c r="G248" s="9"/>
      <c r="H248" s="36">
        <v>-25</v>
      </c>
      <c r="I248" s="5"/>
      <c r="J248" s="9"/>
    </row>
    <row r="249" spans="1:10">
      <c r="A249" s="39">
        <v>248</v>
      </c>
      <c r="B249" s="33">
        <v>45000</v>
      </c>
      <c r="C249" s="40">
        <v>2414</v>
      </c>
      <c r="D249" s="9" t="s">
        <v>39</v>
      </c>
      <c r="E249" s="34">
        <v>11</v>
      </c>
      <c r="F249" s="35" t="str">
        <f>IFERROR(LOOKUP(E249,CODIGOS!A:A,CODIGOS!B:B)," ")</f>
        <v>OLLA SAN ANTÓN</v>
      </c>
      <c r="G249" s="9"/>
      <c r="H249" s="36">
        <v>33</v>
      </c>
      <c r="I249" s="34" t="s">
        <v>11</v>
      </c>
      <c r="J249" s="9"/>
    </row>
    <row r="250" spans="1:10">
      <c r="A250" s="39">
        <v>249</v>
      </c>
      <c r="B250" s="33">
        <v>45027</v>
      </c>
      <c r="C250" s="40">
        <v>2571</v>
      </c>
      <c r="D250" s="9" t="s">
        <v>238</v>
      </c>
      <c r="E250" s="34">
        <v>12</v>
      </c>
      <c r="F250" s="35" t="str">
        <f>IFERROR(LOOKUP(E250,CODIGOS!A:A,CODIGOS!B:B)," ")</f>
        <v>EXPOSICIÓN CATEDRAL</v>
      </c>
      <c r="G250" s="9"/>
      <c r="H250" s="36">
        <v>20</v>
      </c>
      <c r="I250" s="34" t="s">
        <v>239</v>
      </c>
      <c r="J250" s="9"/>
    </row>
    <row r="251" spans="1:10">
      <c r="A251" s="39">
        <v>250</v>
      </c>
      <c r="B251" s="33">
        <v>45027</v>
      </c>
      <c r="C251" s="40">
        <v>2379</v>
      </c>
      <c r="D251" s="9" t="s">
        <v>240</v>
      </c>
      <c r="E251" s="34">
        <v>12</v>
      </c>
      <c r="F251" s="35" t="str">
        <f>IFERROR(LOOKUP(E251,CODIGOS!A:A,CODIGOS!B:B)," ")</f>
        <v>EXPOSICIÓN CATEDRAL</v>
      </c>
      <c r="G251" s="9"/>
      <c r="H251" s="36">
        <v>20</v>
      </c>
      <c r="I251" s="34" t="s">
        <v>239</v>
      </c>
      <c r="J251" s="9"/>
    </row>
    <row r="252" spans="1:10">
      <c r="A252" s="39">
        <v>251</v>
      </c>
      <c r="B252" s="33">
        <v>45027</v>
      </c>
      <c r="C252" s="40">
        <v>2563</v>
      </c>
      <c r="D252" s="9" t="s">
        <v>241</v>
      </c>
      <c r="E252" s="34">
        <v>12</v>
      </c>
      <c r="F252" s="35" t="str">
        <f>IFERROR(LOOKUP(E252,CODIGOS!A:A,CODIGOS!B:B)," ")</f>
        <v>EXPOSICIÓN CATEDRAL</v>
      </c>
      <c r="G252" s="9"/>
      <c r="H252" s="36">
        <v>20</v>
      </c>
      <c r="I252" s="34" t="s">
        <v>242</v>
      </c>
      <c r="J252" s="9"/>
    </row>
    <row r="253" spans="1:10">
      <c r="A253" s="39">
        <v>252</v>
      </c>
      <c r="B253" s="33">
        <v>45027</v>
      </c>
      <c r="C253" s="40">
        <v>2489</v>
      </c>
      <c r="D253" s="9" t="s">
        <v>243</v>
      </c>
      <c r="E253" s="34">
        <v>12</v>
      </c>
      <c r="F253" s="35" t="str">
        <f>IFERROR(LOOKUP(E253,CODIGOS!A:A,CODIGOS!B:B)," ")</f>
        <v>EXPOSICIÓN CATEDRAL</v>
      </c>
      <c r="G253" s="9"/>
      <c r="H253" s="36">
        <v>20</v>
      </c>
      <c r="I253" s="34"/>
      <c r="J253" s="9"/>
    </row>
    <row r="254" spans="1:10">
      <c r="A254" s="39">
        <v>253</v>
      </c>
      <c r="B254" s="33">
        <v>45027</v>
      </c>
      <c r="C254" s="40"/>
      <c r="D254" s="9" t="s">
        <v>244</v>
      </c>
      <c r="E254" s="34">
        <v>12</v>
      </c>
      <c r="F254" s="35" t="str">
        <f>IFERROR(LOOKUP(E254,CODIGOS!A:A,CODIGOS!B:B)," ")</f>
        <v>EXPOSICIÓN CATEDRAL</v>
      </c>
      <c r="G254" s="9"/>
      <c r="H254" s="36">
        <v>20</v>
      </c>
      <c r="I254" s="34"/>
      <c r="J254" s="9"/>
    </row>
    <row r="255" spans="1:10">
      <c r="A255" s="39">
        <v>254</v>
      </c>
      <c r="B255" s="33">
        <v>45027</v>
      </c>
      <c r="C255" s="40">
        <v>738</v>
      </c>
      <c r="D255" s="9" t="s">
        <v>245</v>
      </c>
      <c r="E255" s="34">
        <v>12</v>
      </c>
      <c r="F255" s="35" t="str">
        <f>IFERROR(LOOKUP(E255,CODIGOS!A:A,CODIGOS!B:B)," ")</f>
        <v>EXPOSICIÓN CATEDRAL</v>
      </c>
      <c r="G255" s="9"/>
      <c r="H255" s="36">
        <v>20</v>
      </c>
      <c r="I255" s="34"/>
      <c r="J255" s="9"/>
    </row>
    <row r="256" spans="1:10">
      <c r="A256" s="39">
        <v>255</v>
      </c>
      <c r="B256" s="33">
        <v>45027</v>
      </c>
      <c r="C256" s="40">
        <v>1913</v>
      </c>
      <c r="D256" s="9" t="s">
        <v>246</v>
      </c>
      <c r="E256" s="34">
        <v>12</v>
      </c>
      <c r="F256" s="35" t="str">
        <f>IFERROR(LOOKUP(E256,CODIGOS!A:A,CODIGOS!B:B)," ")</f>
        <v>EXPOSICIÓN CATEDRAL</v>
      </c>
      <c r="G256" s="9"/>
      <c r="H256" s="36">
        <v>20</v>
      </c>
      <c r="I256" s="34"/>
      <c r="J256" s="9"/>
    </row>
    <row r="257" spans="1:10">
      <c r="A257" s="39">
        <v>256</v>
      </c>
      <c r="B257" s="33">
        <v>45027</v>
      </c>
      <c r="C257" s="40">
        <v>2581</v>
      </c>
      <c r="D257" s="9" t="s">
        <v>223</v>
      </c>
      <c r="E257" s="34">
        <v>12</v>
      </c>
      <c r="F257" s="35" t="str">
        <f>IFERROR(LOOKUP(E257,CODIGOS!A:A,CODIGOS!B:B)," ")</f>
        <v>EXPOSICIÓN CATEDRAL</v>
      </c>
      <c r="G257" s="9"/>
      <c r="H257" s="36">
        <v>20</v>
      </c>
      <c r="I257" s="34"/>
      <c r="J257" s="9"/>
    </row>
    <row r="258" spans="1:10">
      <c r="A258" s="39">
        <v>257</v>
      </c>
      <c r="B258" s="33">
        <v>45027</v>
      </c>
      <c r="C258" s="9">
        <v>2462</v>
      </c>
      <c r="D258" s="9" t="s">
        <v>222</v>
      </c>
      <c r="E258" s="34">
        <v>12</v>
      </c>
      <c r="F258" s="35" t="str">
        <f>IFERROR(LOOKUP(E258,CODIGOS!A:A,CODIGOS!B:B)," ")</f>
        <v>EXPOSICIÓN CATEDRAL</v>
      </c>
      <c r="G258" s="9"/>
      <c r="H258" s="36">
        <v>20</v>
      </c>
      <c r="I258" s="34"/>
      <c r="J258" s="9"/>
    </row>
    <row r="259" spans="1:10">
      <c r="A259" s="39">
        <v>258</v>
      </c>
      <c r="B259" s="33">
        <v>45027</v>
      </c>
      <c r="C259" s="9">
        <v>2575</v>
      </c>
      <c r="D259" s="9" t="s">
        <v>247</v>
      </c>
      <c r="E259" s="34">
        <v>12</v>
      </c>
      <c r="F259" s="35" t="str">
        <f>IFERROR(LOOKUP(E259,CODIGOS!A:A,CODIGOS!B:B)," ")</f>
        <v>EXPOSICIÓN CATEDRAL</v>
      </c>
      <c r="G259" s="9"/>
      <c r="H259" s="36">
        <v>20</v>
      </c>
      <c r="I259" s="34"/>
      <c r="J259" s="9"/>
    </row>
    <row r="260" spans="1:10">
      <c r="A260" s="39">
        <v>259</v>
      </c>
      <c r="B260" s="33">
        <v>45027</v>
      </c>
      <c r="C260" s="9">
        <v>2324</v>
      </c>
      <c r="D260" s="9" t="s">
        <v>248</v>
      </c>
      <c r="E260" s="34">
        <v>12</v>
      </c>
      <c r="F260" s="35" t="str">
        <f>IFERROR(LOOKUP(E260,CODIGOS!A:A,CODIGOS!B:B)," ")</f>
        <v>EXPOSICIÓN CATEDRAL</v>
      </c>
      <c r="G260" s="9"/>
      <c r="H260" s="36">
        <v>20</v>
      </c>
      <c r="I260" s="34"/>
      <c r="J260" s="9"/>
    </row>
    <row r="261" spans="1:10">
      <c r="A261" s="39">
        <v>260</v>
      </c>
      <c r="B261" s="33">
        <v>45027</v>
      </c>
      <c r="C261" s="9" t="s">
        <v>249</v>
      </c>
      <c r="D261" s="9" t="s">
        <v>250</v>
      </c>
      <c r="E261" s="34">
        <v>12</v>
      </c>
      <c r="F261" s="35" t="str">
        <f>IFERROR(LOOKUP(E261,CODIGOS!A:A,CODIGOS!B:B)," ")</f>
        <v>EXPOSICIÓN CATEDRAL</v>
      </c>
      <c r="G261" s="9"/>
      <c r="H261" s="36">
        <v>20</v>
      </c>
      <c r="I261" s="34"/>
      <c r="J261" s="9"/>
    </row>
    <row r="262" spans="1:10">
      <c r="A262" s="39">
        <v>261</v>
      </c>
      <c r="B262" s="33">
        <v>45027</v>
      </c>
      <c r="C262" s="9">
        <v>2392</v>
      </c>
      <c r="D262" s="9" t="s">
        <v>251</v>
      </c>
      <c r="E262" s="34">
        <v>12</v>
      </c>
      <c r="F262" s="35" t="str">
        <f>IFERROR(LOOKUP(E262,CODIGOS!A:A,CODIGOS!B:B)," ")</f>
        <v>EXPOSICIÓN CATEDRAL</v>
      </c>
      <c r="G262" s="9"/>
      <c r="H262" s="36">
        <v>20</v>
      </c>
      <c r="I262" s="34"/>
      <c r="J262" s="9"/>
    </row>
    <row r="263" spans="1:10">
      <c r="A263" s="39">
        <v>262</v>
      </c>
      <c r="B263" s="33">
        <v>45027</v>
      </c>
      <c r="C263" s="9">
        <v>2000</v>
      </c>
      <c r="D263" s="9" t="s">
        <v>252</v>
      </c>
      <c r="E263" s="34">
        <v>12</v>
      </c>
      <c r="F263" s="35" t="str">
        <f>IFERROR(LOOKUP(E263,CODIGOS!A:A,CODIGOS!B:B)," ")</f>
        <v>EXPOSICIÓN CATEDRAL</v>
      </c>
      <c r="G263" s="9"/>
      <c r="H263" s="36">
        <v>20</v>
      </c>
      <c r="I263" s="34"/>
      <c r="J263" s="9"/>
    </row>
    <row r="264" spans="1:10">
      <c r="A264" s="39">
        <v>263</v>
      </c>
      <c r="B264" s="33">
        <v>45027</v>
      </c>
      <c r="C264" s="9"/>
      <c r="D264" s="9" t="s">
        <v>253</v>
      </c>
      <c r="E264" s="34">
        <v>12</v>
      </c>
      <c r="F264" s="35" t="str">
        <f>IFERROR(LOOKUP(E264,CODIGOS!A:A,CODIGOS!B:B)," ")</f>
        <v>EXPOSICIÓN CATEDRAL</v>
      </c>
      <c r="G264" s="9"/>
      <c r="H264" s="36">
        <v>20</v>
      </c>
      <c r="I264" s="34"/>
      <c r="J264" s="9"/>
    </row>
    <row r="265" spans="1:10">
      <c r="A265" s="39">
        <v>264</v>
      </c>
      <c r="B265" s="33">
        <v>45027</v>
      </c>
      <c r="C265" s="9">
        <v>2414</v>
      </c>
      <c r="D265" s="9" t="s">
        <v>254</v>
      </c>
      <c r="E265" s="34">
        <v>12</v>
      </c>
      <c r="F265" s="35" t="str">
        <f>IFERROR(LOOKUP(E265,CODIGOS!A:A,CODIGOS!B:B)," ")</f>
        <v>EXPOSICIÓN CATEDRAL</v>
      </c>
      <c r="G265" s="9"/>
      <c r="H265" s="36">
        <v>20</v>
      </c>
      <c r="I265" s="34"/>
      <c r="J265" s="9"/>
    </row>
    <row r="266" spans="1:10">
      <c r="A266" s="39">
        <v>265</v>
      </c>
      <c r="B266" s="33">
        <v>45027</v>
      </c>
      <c r="C266" s="9">
        <v>2456</v>
      </c>
      <c r="D266" s="9" t="s">
        <v>255</v>
      </c>
      <c r="E266" s="34">
        <v>12</v>
      </c>
      <c r="F266" s="35" t="str">
        <f>IFERROR(LOOKUP(E266,CODIGOS!A:A,CODIGOS!B:B)," ")</f>
        <v>EXPOSICIÓN CATEDRAL</v>
      </c>
      <c r="G266" s="9"/>
      <c r="H266" s="36">
        <v>20</v>
      </c>
      <c r="I266" s="34"/>
      <c r="J266" s="9"/>
    </row>
    <row r="267" spans="1:10">
      <c r="A267" s="39">
        <v>266</v>
      </c>
      <c r="B267" s="33">
        <v>45028</v>
      </c>
      <c r="C267" s="40">
        <v>2684</v>
      </c>
      <c r="D267" s="9" t="s">
        <v>256</v>
      </c>
      <c r="E267" s="34">
        <v>12</v>
      </c>
      <c r="F267" s="35" t="str">
        <f>IFERROR(LOOKUP(E267,CODIGOS!A:A,CODIGOS!B:B)," ")</f>
        <v>EXPOSICIÓN CATEDRAL</v>
      </c>
      <c r="G267" s="9"/>
      <c r="H267" s="36">
        <v>20</v>
      </c>
      <c r="I267" s="34" t="s">
        <v>11</v>
      </c>
      <c r="J267" s="9"/>
    </row>
    <row r="268" spans="1:10">
      <c r="A268" s="39">
        <v>267</v>
      </c>
      <c r="B268" s="33">
        <v>45028</v>
      </c>
      <c r="C268" s="40" t="s">
        <v>155</v>
      </c>
      <c r="D268" s="9" t="s">
        <v>257</v>
      </c>
      <c r="E268" s="34">
        <v>12</v>
      </c>
      <c r="F268" s="35" t="str">
        <f>IFERROR(LOOKUP(E268,CODIGOS!A:A,CODIGOS!B:B)," ")</f>
        <v>EXPOSICIÓN CATEDRAL</v>
      </c>
      <c r="G268" s="9"/>
      <c r="H268" s="36">
        <v>25</v>
      </c>
      <c r="I268" s="34" t="s">
        <v>20</v>
      </c>
      <c r="J268" s="9"/>
    </row>
    <row r="269" spans="1:10">
      <c r="A269" s="39">
        <v>268</v>
      </c>
      <c r="B269" s="33">
        <v>45028</v>
      </c>
      <c r="C269" s="40">
        <v>1314</v>
      </c>
      <c r="D269" s="9" t="s">
        <v>258</v>
      </c>
      <c r="E269" s="34">
        <v>12</v>
      </c>
      <c r="F269" s="35" t="str">
        <f>IFERROR(LOOKUP(E269,CODIGOS!A:A,CODIGOS!B:B)," ")</f>
        <v>EXPOSICIÓN CATEDRAL</v>
      </c>
      <c r="G269" s="9"/>
      <c r="H269" s="36">
        <v>20</v>
      </c>
      <c r="I269" s="34" t="s">
        <v>11</v>
      </c>
      <c r="J269" s="9"/>
    </row>
    <row r="270" spans="1:10">
      <c r="A270" s="39">
        <v>269</v>
      </c>
      <c r="B270" s="33">
        <v>45028</v>
      </c>
      <c r="C270" s="40">
        <v>2315</v>
      </c>
      <c r="D270" s="9" t="s">
        <v>259</v>
      </c>
      <c r="E270" s="34">
        <v>12</v>
      </c>
      <c r="F270" s="35" t="str">
        <f>IFERROR(LOOKUP(E270,CODIGOS!A:A,CODIGOS!B:B)," ")</f>
        <v>EXPOSICIÓN CATEDRAL</v>
      </c>
      <c r="G270" s="9"/>
      <c r="H270" s="36">
        <v>20</v>
      </c>
      <c r="I270" s="34" t="s">
        <v>11</v>
      </c>
      <c r="J270" s="9"/>
    </row>
    <row r="271" spans="1:10">
      <c r="A271" s="39">
        <v>270</v>
      </c>
      <c r="B271" s="33">
        <v>45034</v>
      </c>
      <c r="C271" s="40">
        <v>2614</v>
      </c>
      <c r="D271" s="9" t="s">
        <v>260</v>
      </c>
      <c r="E271" s="34">
        <v>13</v>
      </c>
      <c r="F271" s="35" t="str">
        <f>IFERROR(LOOKUP(E271,CODIGOS!A:A,CODIGOS!B:B)," ")</f>
        <v>ENSAYO ORQUESTA</v>
      </c>
      <c r="G271" s="9"/>
      <c r="H271" s="36">
        <v>35</v>
      </c>
      <c r="I271" s="34" t="s">
        <v>261</v>
      </c>
      <c r="J271" s="9"/>
    </row>
    <row r="272" spans="1:10">
      <c r="A272" s="39">
        <v>271</v>
      </c>
      <c r="B272" s="33">
        <v>45034</v>
      </c>
      <c r="C272" s="40">
        <v>2709</v>
      </c>
      <c r="D272" s="9" t="s">
        <v>262</v>
      </c>
      <c r="E272" s="34">
        <v>13</v>
      </c>
      <c r="F272" s="35" t="str">
        <f>IFERROR(LOOKUP(E272,CODIGOS!A:A,CODIGOS!B:B)," ")</f>
        <v>ENSAYO ORQUESTA</v>
      </c>
      <c r="G272" s="9"/>
      <c r="H272" s="36">
        <v>35</v>
      </c>
      <c r="I272" s="34" t="s">
        <v>11</v>
      </c>
      <c r="J272" s="9"/>
    </row>
    <row r="273" spans="1:10">
      <c r="A273" s="39">
        <v>272</v>
      </c>
      <c r="B273" s="33">
        <v>45034</v>
      </c>
      <c r="C273" s="40">
        <v>2710</v>
      </c>
      <c r="D273" s="9" t="s">
        <v>263</v>
      </c>
      <c r="E273" s="34">
        <v>13</v>
      </c>
      <c r="F273" s="35" t="str">
        <f>IFERROR(LOOKUP(E273,CODIGOS!A:A,CODIGOS!B:B)," ")</f>
        <v>ENSAYO ORQUESTA</v>
      </c>
      <c r="G273" s="9"/>
      <c r="H273" s="36">
        <v>35</v>
      </c>
      <c r="I273" s="34" t="s">
        <v>11</v>
      </c>
      <c r="J273" s="9"/>
    </row>
    <row r="274" spans="1:10">
      <c r="A274" s="39">
        <v>273</v>
      </c>
      <c r="B274" s="33">
        <v>45035</v>
      </c>
      <c r="C274" s="40">
        <v>1901</v>
      </c>
      <c r="D274" s="9" t="s">
        <v>264</v>
      </c>
      <c r="E274" s="34">
        <v>12</v>
      </c>
      <c r="F274" s="35" t="str">
        <f>IFERROR(LOOKUP(E274,CODIGOS!A:A,CODIGOS!B:B)," ")</f>
        <v>EXPOSICIÓN CATEDRAL</v>
      </c>
      <c r="G274" s="9"/>
      <c r="H274" s="36">
        <v>20</v>
      </c>
      <c r="I274" s="34" t="s">
        <v>11</v>
      </c>
      <c r="J274" s="9"/>
    </row>
    <row r="275" spans="1:10">
      <c r="A275" s="39">
        <v>274</v>
      </c>
      <c r="B275" s="33">
        <v>45035</v>
      </c>
      <c r="C275" s="40">
        <v>2414</v>
      </c>
      <c r="D275" s="9" t="s">
        <v>265</v>
      </c>
      <c r="E275" s="34">
        <v>13</v>
      </c>
      <c r="F275" s="35" t="str">
        <f>IFERROR(LOOKUP(E275,CODIGOS!A:A,CODIGOS!B:B)," ")</f>
        <v>ENSAYO ORQUESTA</v>
      </c>
      <c r="G275" s="9"/>
      <c r="H275" s="36">
        <v>35</v>
      </c>
      <c r="I275" s="34" t="s">
        <v>11</v>
      </c>
      <c r="J275" s="9"/>
    </row>
    <row r="276" spans="1:10">
      <c r="A276" s="39">
        <v>275</v>
      </c>
      <c r="B276" s="33">
        <v>45040</v>
      </c>
      <c r="C276" s="40">
        <v>1916</v>
      </c>
      <c r="D276" s="9" t="s">
        <v>266</v>
      </c>
      <c r="E276" s="34">
        <v>14</v>
      </c>
      <c r="F276" s="35" t="str">
        <f>IFERROR(LOOKUP(E276,CODIGOS!A:A,CODIGOS!B:B)," ")</f>
        <v>BASÍLICA DE SAN JUAN DE DIOS</v>
      </c>
      <c r="G276" s="9"/>
      <c r="H276" s="36">
        <v>20</v>
      </c>
      <c r="I276" s="34" t="s">
        <v>11</v>
      </c>
      <c r="J276" s="9"/>
    </row>
    <row r="277" spans="1:10">
      <c r="A277" s="39">
        <v>276</v>
      </c>
      <c r="B277" s="33">
        <v>45040</v>
      </c>
      <c r="C277" s="40">
        <v>1916</v>
      </c>
      <c r="D277" s="9" t="s">
        <v>266</v>
      </c>
      <c r="E277" s="34">
        <v>13</v>
      </c>
      <c r="F277" s="35" t="str">
        <f>IFERROR(LOOKUP(E277,CODIGOS!A:A,CODIGOS!B:B)," ")</f>
        <v>ENSAYO ORQUESTA</v>
      </c>
      <c r="G277" s="9"/>
      <c r="H277" s="36">
        <v>35</v>
      </c>
      <c r="I277" s="34" t="s">
        <v>11</v>
      </c>
      <c r="J277" s="9"/>
    </row>
    <row r="278" spans="1:10">
      <c r="A278" s="39">
        <v>277</v>
      </c>
      <c r="B278" s="33">
        <v>45040</v>
      </c>
      <c r="C278" s="40">
        <v>2654</v>
      </c>
      <c r="D278" s="9" t="s">
        <v>229</v>
      </c>
      <c r="E278" s="34">
        <v>13</v>
      </c>
      <c r="F278" s="35" t="str">
        <f>IFERROR(LOOKUP(E278,CODIGOS!A:A,CODIGOS!B:B)," ")</f>
        <v>ENSAYO ORQUESTA</v>
      </c>
      <c r="G278" s="9"/>
      <c r="H278" s="36">
        <v>35</v>
      </c>
      <c r="I278" s="34" t="s">
        <v>11</v>
      </c>
      <c r="J278" s="9"/>
    </row>
    <row r="279" spans="1:10">
      <c r="A279" s="39">
        <v>278</v>
      </c>
      <c r="B279" s="33">
        <v>45040</v>
      </c>
      <c r="C279" s="40">
        <v>2532</v>
      </c>
      <c r="D279" s="9" t="s">
        <v>267</v>
      </c>
      <c r="E279" s="34">
        <v>13</v>
      </c>
      <c r="F279" s="35" t="str">
        <f>IFERROR(LOOKUP(E279,CODIGOS!A:A,CODIGOS!B:B)," ")</f>
        <v>ENSAYO ORQUESTA</v>
      </c>
      <c r="G279" s="9"/>
      <c r="H279" s="36">
        <v>35</v>
      </c>
      <c r="I279" s="34"/>
      <c r="J279" s="9"/>
    </row>
    <row r="280" spans="1:10">
      <c r="A280" s="39">
        <v>279</v>
      </c>
      <c r="B280" s="33">
        <v>45040</v>
      </c>
      <c r="C280" s="40">
        <v>2562</v>
      </c>
      <c r="D280" s="9" t="s">
        <v>268</v>
      </c>
      <c r="E280" s="34">
        <v>14</v>
      </c>
      <c r="F280" s="35" t="str">
        <f>IFERROR(LOOKUP(E280,CODIGOS!A:A,CODIGOS!B:B)," ")</f>
        <v>BASÍLICA DE SAN JUAN DE DIOS</v>
      </c>
      <c r="G280" s="9"/>
      <c r="H280" s="36">
        <v>20</v>
      </c>
      <c r="I280" s="34"/>
      <c r="J280" s="9"/>
    </row>
    <row r="281" spans="1:10">
      <c r="A281" s="39">
        <v>280</v>
      </c>
      <c r="B281" s="33">
        <v>45040</v>
      </c>
      <c r="C281" s="9">
        <v>2131</v>
      </c>
      <c r="D281" s="9" t="s">
        <v>269</v>
      </c>
      <c r="E281" s="34">
        <v>13</v>
      </c>
      <c r="F281" s="35" t="str">
        <f>IFERROR(LOOKUP(E281,CODIGOS!A:A,CODIGOS!B:B)," ")</f>
        <v>ENSAYO ORQUESTA</v>
      </c>
      <c r="G281" s="9"/>
      <c r="H281" s="36">
        <v>35</v>
      </c>
      <c r="I281" s="34"/>
      <c r="J281" s="9"/>
    </row>
    <row r="282" spans="1:10">
      <c r="A282" s="39">
        <v>281</v>
      </c>
      <c r="B282" s="33">
        <v>45040</v>
      </c>
      <c r="C282" s="9" t="s">
        <v>31</v>
      </c>
      <c r="D282" s="9" t="s">
        <v>270</v>
      </c>
      <c r="E282" s="34">
        <v>13</v>
      </c>
      <c r="F282" s="35" t="str">
        <f>IFERROR(LOOKUP(E282,CODIGOS!A:A,CODIGOS!B:B)," ")</f>
        <v>ENSAYO ORQUESTA</v>
      </c>
      <c r="G282" s="9"/>
      <c r="H282" s="36">
        <v>50</v>
      </c>
      <c r="I282" s="34"/>
      <c r="J282" s="9"/>
    </row>
    <row r="283" spans="1:10">
      <c r="A283" s="39">
        <v>282</v>
      </c>
      <c r="B283" s="33">
        <v>45040</v>
      </c>
      <c r="C283" s="9" t="s">
        <v>271</v>
      </c>
      <c r="D283" s="9" t="s">
        <v>272</v>
      </c>
      <c r="E283" s="34">
        <v>13</v>
      </c>
      <c r="F283" s="35" t="str">
        <f>IFERROR(LOOKUP(E283,CODIGOS!A:A,CODIGOS!B:B)," ")</f>
        <v>ENSAYO ORQUESTA</v>
      </c>
      <c r="G283" s="9"/>
      <c r="H283" s="36">
        <v>50</v>
      </c>
      <c r="I283" s="34"/>
      <c r="J283" s="9"/>
    </row>
    <row r="284" spans="1:10">
      <c r="A284" s="39">
        <v>283</v>
      </c>
      <c r="B284" s="33">
        <v>45040</v>
      </c>
      <c r="C284" s="9"/>
      <c r="D284" s="9" t="s">
        <v>273</v>
      </c>
      <c r="E284" s="34">
        <v>13</v>
      </c>
      <c r="F284" s="35" t="str">
        <f>IFERROR(LOOKUP(E284,CODIGOS!A:A,CODIGOS!B:B)," ")</f>
        <v>ENSAYO ORQUESTA</v>
      </c>
      <c r="G284" s="9"/>
      <c r="H284" s="36">
        <v>35</v>
      </c>
      <c r="I284" s="34"/>
      <c r="J284" s="9"/>
    </row>
    <row r="285" spans="1:10">
      <c r="A285" s="39">
        <v>284</v>
      </c>
      <c r="B285" s="33">
        <v>45040</v>
      </c>
      <c r="C285" s="9" t="s">
        <v>274</v>
      </c>
      <c r="D285" s="9" t="s">
        <v>275</v>
      </c>
      <c r="E285" s="34">
        <v>13</v>
      </c>
      <c r="F285" s="35" t="str">
        <f>IFERROR(LOOKUP(E285,CODIGOS!A:A,CODIGOS!B:B)," ")</f>
        <v>ENSAYO ORQUESTA</v>
      </c>
      <c r="G285" s="9"/>
      <c r="H285" s="36">
        <v>50</v>
      </c>
      <c r="I285" s="34"/>
      <c r="J285" s="9"/>
    </row>
    <row r="286" spans="1:10">
      <c r="A286" s="39">
        <v>285</v>
      </c>
      <c r="B286" s="33">
        <v>45040</v>
      </c>
      <c r="C286" s="9">
        <v>2689</v>
      </c>
      <c r="D286" s="9" t="s">
        <v>276</v>
      </c>
      <c r="E286" s="34">
        <v>13</v>
      </c>
      <c r="F286" s="35" t="str">
        <f>IFERROR(LOOKUP(E286,CODIGOS!A:A,CODIGOS!B:B)," ")</f>
        <v>ENSAYO ORQUESTA</v>
      </c>
      <c r="G286" s="9"/>
      <c r="H286" s="36">
        <v>35</v>
      </c>
      <c r="I286" s="34"/>
      <c r="J286" s="9"/>
    </row>
    <row r="287" spans="1:10">
      <c r="A287" s="39">
        <v>286</v>
      </c>
      <c r="B287" s="33">
        <v>45040</v>
      </c>
      <c r="C287" s="9">
        <v>2449</v>
      </c>
      <c r="D287" s="9" t="s">
        <v>277</v>
      </c>
      <c r="E287" s="34">
        <v>13</v>
      </c>
      <c r="F287" s="35" t="str">
        <f>IFERROR(LOOKUP(E287,CODIGOS!A:A,CODIGOS!B:B)," ")</f>
        <v>ENSAYO ORQUESTA</v>
      </c>
      <c r="G287" s="9"/>
      <c r="H287" s="36">
        <v>35</v>
      </c>
      <c r="I287" s="34"/>
      <c r="J287" s="9"/>
    </row>
    <row r="288" spans="1:10">
      <c r="A288" s="39">
        <v>287</v>
      </c>
      <c r="B288" s="33">
        <v>45040</v>
      </c>
      <c r="C288" s="9">
        <v>2609</v>
      </c>
      <c r="D288" s="9" t="s">
        <v>278</v>
      </c>
      <c r="E288" s="34">
        <v>13</v>
      </c>
      <c r="F288" s="35" t="str">
        <f>IFERROR(LOOKUP(E288,CODIGOS!A:A,CODIGOS!B:B)," ")</f>
        <v>ENSAYO ORQUESTA</v>
      </c>
      <c r="G288" s="9"/>
      <c r="H288" s="36">
        <v>35</v>
      </c>
      <c r="I288" s="34"/>
      <c r="J288" s="9"/>
    </row>
    <row r="289" spans="1:10">
      <c r="A289" s="39">
        <v>288</v>
      </c>
      <c r="B289" s="33">
        <v>45040</v>
      </c>
      <c r="C289" s="9">
        <v>2449</v>
      </c>
      <c r="D289" s="9" t="s">
        <v>277</v>
      </c>
      <c r="E289" s="34">
        <v>14</v>
      </c>
      <c r="F289" s="35" t="str">
        <f>IFERROR(LOOKUP(E289,CODIGOS!A:A,CODIGOS!B:B)," ")</f>
        <v>BASÍLICA DE SAN JUAN DE DIOS</v>
      </c>
      <c r="G289" s="9"/>
      <c r="H289" s="36">
        <v>20</v>
      </c>
      <c r="I289" s="34"/>
      <c r="J289" s="9"/>
    </row>
    <row r="290" spans="1:10">
      <c r="A290" s="39">
        <v>289</v>
      </c>
      <c r="B290" s="33">
        <v>45040</v>
      </c>
      <c r="C290" s="9">
        <v>2609</v>
      </c>
      <c r="D290" s="9" t="s">
        <v>278</v>
      </c>
      <c r="E290" s="34">
        <v>14</v>
      </c>
      <c r="F290" s="35" t="str">
        <f>IFERROR(LOOKUP(E290,CODIGOS!A:A,CODIGOS!B:B)," ")</f>
        <v>BASÍLICA DE SAN JUAN DE DIOS</v>
      </c>
      <c r="G290" s="9"/>
      <c r="H290" s="36">
        <v>20</v>
      </c>
      <c r="I290" s="34"/>
      <c r="J290" s="9"/>
    </row>
    <row r="291" spans="1:10">
      <c r="A291" s="39">
        <v>290</v>
      </c>
      <c r="B291" s="33">
        <v>45041</v>
      </c>
      <c r="C291" s="40">
        <v>2000</v>
      </c>
      <c r="D291" s="9" t="s">
        <v>279</v>
      </c>
      <c r="E291" s="34">
        <v>13</v>
      </c>
      <c r="F291" s="35" t="str">
        <f>IFERROR(LOOKUP(E291,CODIGOS!A:A,CODIGOS!B:B)," ")</f>
        <v>ENSAYO ORQUESTA</v>
      </c>
      <c r="G291" s="9"/>
      <c r="H291" s="36">
        <v>35</v>
      </c>
      <c r="I291" s="34" t="s">
        <v>11</v>
      </c>
      <c r="J291" s="9"/>
    </row>
    <row r="292" spans="1:10">
      <c r="A292" s="39">
        <v>291</v>
      </c>
      <c r="B292" s="33">
        <v>45041</v>
      </c>
      <c r="C292" s="40" t="s">
        <v>280</v>
      </c>
      <c r="D292" s="9" t="s">
        <v>281</v>
      </c>
      <c r="E292" s="34">
        <v>13</v>
      </c>
      <c r="F292" s="35" t="str">
        <f>IFERROR(LOOKUP(E292,CODIGOS!A:A,CODIGOS!B:B)," ")</f>
        <v>ENSAYO ORQUESTA</v>
      </c>
      <c r="G292" s="9"/>
      <c r="H292" s="36">
        <v>50</v>
      </c>
      <c r="I292" s="34" t="s">
        <v>282</v>
      </c>
      <c r="J292" s="9"/>
    </row>
    <row r="293" spans="1:10">
      <c r="A293" s="39">
        <v>292</v>
      </c>
      <c r="B293" s="33">
        <v>45041</v>
      </c>
      <c r="C293" s="40">
        <v>2189</v>
      </c>
      <c r="D293" s="9" t="s">
        <v>283</v>
      </c>
      <c r="E293" s="34">
        <v>13</v>
      </c>
      <c r="F293" s="35" t="str">
        <f>IFERROR(LOOKUP(E293,CODIGOS!A:A,CODIGOS!B:B)," ")</f>
        <v>ENSAYO ORQUESTA</v>
      </c>
      <c r="G293" s="9"/>
      <c r="H293" s="36">
        <v>35</v>
      </c>
      <c r="I293" s="34" t="s">
        <v>11</v>
      </c>
      <c r="J293" s="9"/>
    </row>
    <row r="294" spans="1:10">
      <c r="A294" s="39">
        <v>293</v>
      </c>
      <c r="B294" s="33">
        <v>45041</v>
      </c>
      <c r="C294" s="40">
        <v>2668</v>
      </c>
      <c r="D294" s="9" t="s">
        <v>284</v>
      </c>
      <c r="E294" s="34">
        <v>13</v>
      </c>
      <c r="F294" s="35" t="str">
        <f>IFERROR(LOOKUP(E294,CODIGOS!A:A,CODIGOS!B:B)," ")</f>
        <v>ENSAYO ORQUESTA</v>
      </c>
      <c r="G294" s="9"/>
      <c r="H294" s="36">
        <v>35</v>
      </c>
      <c r="I294" s="34" t="s">
        <v>72</v>
      </c>
      <c r="J294" s="9"/>
    </row>
    <row r="295" spans="1:10">
      <c r="A295" s="39">
        <v>294</v>
      </c>
      <c r="B295" s="33">
        <v>45041</v>
      </c>
      <c r="C295" s="40">
        <v>2669</v>
      </c>
      <c r="D295" s="9" t="s">
        <v>285</v>
      </c>
      <c r="E295" s="34">
        <v>13</v>
      </c>
      <c r="F295" s="35" t="str">
        <f>IFERROR(LOOKUP(E295,CODIGOS!A:A,CODIGOS!B:B)," ")</f>
        <v>ENSAYO ORQUESTA</v>
      </c>
      <c r="G295" s="9"/>
      <c r="H295" s="36">
        <v>35</v>
      </c>
      <c r="I295" s="34" t="s">
        <v>72</v>
      </c>
      <c r="J295" s="9"/>
    </row>
    <row r="296" spans="1:10">
      <c r="A296" s="39">
        <v>295</v>
      </c>
      <c r="B296" s="33">
        <v>45041</v>
      </c>
      <c r="C296" s="40">
        <v>2134</v>
      </c>
      <c r="D296" s="9" t="s">
        <v>286</v>
      </c>
      <c r="E296" s="34">
        <v>13</v>
      </c>
      <c r="F296" s="35" t="str">
        <f>IFERROR(LOOKUP(E296,CODIGOS!A:A,CODIGOS!B:B)," ")</f>
        <v>ENSAYO ORQUESTA</v>
      </c>
      <c r="G296" s="9"/>
      <c r="H296" s="36">
        <v>35</v>
      </c>
      <c r="I296" s="34" t="s">
        <v>72</v>
      </c>
      <c r="J296" s="9"/>
    </row>
    <row r="297" spans="1:10">
      <c r="A297" s="39">
        <v>296</v>
      </c>
      <c r="B297" s="33">
        <v>45041</v>
      </c>
      <c r="C297" s="40">
        <v>1623</v>
      </c>
      <c r="D297" s="9" t="s">
        <v>287</v>
      </c>
      <c r="E297" s="34">
        <v>13</v>
      </c>
      <c r="F297" s="35" t="str">
        <f>IFERROR(LOOKUP(E297,CODIGOS!A:A,CODIGOS!B:B)," ")</f>
        <v>ENSAYO ORQUESTA</v>
      </c>
      <c r="G297" s="9"/>
      <c r="H297" s="36">
        <v>35</v>
      </c>
      <c r="I297" s="34" t="s">
        <v>72</v>
      </c>
      <c r="J297" s="9"/>
    </row>
    <row r="298" spans="1:10">
      <c r="A298" s="39">
        <v>297</v>
      </c>
      <c r="B298" s="33">
        <v>45041</v>
      </c>
      <c r="C298" s="40">
        <v>2631</v>
      </c>
      <c r="D298" s="9" t="s">
        <v>288</v>
      </c>
      <c r="E298" s="34">
        <v>13</v>
      </c>
      <c r="F298" s="35" t="str">
        <f>IFERROR(LOOKUP(E298,CODIGOS!A:A,CODIGOS!B:B)," ")</f>
        <v>ENSAYO ORQUESTA</v>
      </c>
      <c r="G298" s="9"/>
      <c r="H298" s="36">
        <v>35</v>
      </c>
      <c r="I298" s="34" t="s">
        <v>72</v>
      </c>
      <c r="J298" s="9"/>
    </row>
    <row r="299" spans="1:10">
      <c r="A299" s="39">
        <v>298</v>
      </c>
      <c r="B299" s="33">
        <v>45041</v>
      </c>
      <c r="C299" s="9">
        <v>2699</v>
      </c>
      <c r="D299" s="9" t="s">
        <v>289</v>
      </c>
      <c r="E299" s="34">
        <v>13</v>
      </c>
      <c r="F299" s="35" t="str">
        <f>IFERROR(LOOKUP(E299,CODIGOS!A:A,CODIGOS!B:B)," ")</f>
        <v>ENSAYO ORQUESTA</v>
      </c>
      <c r="G299" s="9"/>
      <c r="H299" s="36">
        <v>35</v>
      </c>
      <c r="I299" s="34" t="s">
        <v>72</v>
      </c>
      <c r="J299" s="9"/>
    </row>
    <row r="300" spans="1:10">
      <c r="A300" s="39">
        <v>299</v>
      </c>
      <c r="B300" s="33">
        <v>45041</v>
      </c>
      <c r="C300" s="9">
        <v>2698</v>
      </c>
      <c r="D300" s="9" t="s">
        <v>290</v>
      </c>
      <c r="E300" s="34">
        <v>13</v>
      </c>
      <c r="F300" s="35" t="str">
        <f>IFERROR(LOOKUP(E300,CODIGOS!A:A,CODIGOS!B:B)," ")</f>
        <v>ENSAYO ORQUESTA</v>
      </c>
      <c r="G300" s="9"/>
      <c r="H300" s="36">
        <v>35</v>
      </c>
      <c r="I300" s="34" t="s">
        <v>72</v>
      </c>
      <c r="J300" s="9"/>
    </row>
    <row r="301" spans="1:10">
      <c r="A301" s="39">
        <v>300</v>
      </c>
      <c r="B301" s="33">
        <v>45041</v>
      </c>
      <c r="C301" s="9">
        <v>2697</v>
      </c>
      <c r="D301" s="9" t="s">
        <v>291</v>
      </c>
      <c r="E301" s="34">
        <v>13</v>
      </c>
      <c r="F301" s="35" t="str">
        <f>IFERROR(LOOKUP(E301,CODIGOS!A:A,CODIGOS!B:B)," ")</f>
        <v>ENSAYO ORQUESTA</v>
      </c>
      <c r="G301" s="9"/>
      <c r="H301" s="36">
        <v>35</v>
      </c>
      <c r="I301" s="34" t="s">
        <v>72</v>
      </c>
      <c r="J301" s="9"/>
    </row>
    <row r="302" spans="1:10">
      <c r="A302" s="39">
        <v>301</v>
      </c>
      <c r="B302" s="33">
        <v>45041</v>
      </c>
      <c r="C302" s="9">
        <v>2692</v>
      </c>
      <c r="D302" s="9" t="s">
        <v>292</v>
      </c>
      <c r="E302" s="34">
        <v>13</v>
      </c>
      <c r="F302" s="35" t="str">
        <f>IFERROR(LOOKUP(E302,CODIGOS!A:A,CODIGOS!B:B)," ")</f>
        <v>ENSAYO ORQUESTA</v>
      </c>
      <c r="G302" s="9"/>
      <c r="H302" s="36">
        <v>35</v>
      </c>
      <c r="I302" s="34" t="s">
        <v>72</v>
      </c>
      <c r="J302" s="9"/>
    </row>
    <row r="303" spans="1:10">
      <c r="A303" s="39">
        <v>302</v>
      </c>
      <c r="B303" s="33">
        <v>45042</v>
      </c>
      <c r="C303" s="9">
        <v>2511</v>
      </c>
      <c r="D303" s="9" t="s">
        <v>293</v>
      </c>
      <c r="E303" s="34">
        <v>13</v>
      </c>
      <c r="F303" s="35" t="str">
        <f>IFERROR(LOOKUP(E303,CODIGOS!A:A,CODIGOS!B:B)," ")</f>
        <v>ENSAYO ORQUESTA</v>
      </c>
      <c r="G303" s="9"/>
      <c r="H303" s="36">
        <v>35</v>
      </c>
      <c r="I303" s="34">
        <v>40</v>
      </c>
      <c r="J303" s="9"/>
    </row>
    <row r="304" spans="1:10">
      <c r="A304" s="39">
        <v>303</v>
      </c>
      <c r="B304" s="33">
        <v>45042</v>
      </c>
      <c r="C304" s="9">
        <v>2102</v>
      </c>
      <c r="D304" s="9" t="s">
        <v>134</v>
      </c>
      <c r="E304" s="34">
        <v>13</v>
      </c>
      <c r="F304" s="35" t="str">
        <f>IFERROR(LOOKUP(E304,CODIGOS!A:A,CODIGOS!B:B)," ")</f>
        <v>ENSAYO ORQUESTA</v>
      </c>
      <c r="G304" s="9"/>
      <c r="H304" s="36">
        <v>35</v>
      </c>
      <c r="I304" s="34">
        <v>41</v>
      </c>
      <c r="J304" s="9"/>
    </row>
    <row r="305" spans="1:10">
      <c r="A305" s="39">
        <v>304</v>
      </c>
      <c r="B305" s="33">
        <v>45042</v>
      </c>
      <c r="C305" s="9">
        <v>1391</v>
      </c>
      <c r="D305" s="9" t="s">
        <v>294</v>
      </c>
      <c r="E305" s="34">
        <v>13</v>
      </c>
      <c r="F305" s="35" t="str">
        <f>IFERROR(LOOKUP(E305,CODIGOS!A:A,CODIGOS!B:B)," ")</f>
        <v>ENSAYO ORQUESTA</v>
      </c>
      <c r="G305" s="9"/>
      <c r="H305" s="36">
        <v>35</v>
      </c>
      <c r="I305" s="34">
        <v>42</v>
      </c>
      <c r="J305" s="9"/>
    </row>
    <row r="306" spans="1:10">
      <c r="A306" s="39">
        <v>305</v>
      </c>
      <c r="B306" s="33">
        <v>45042</v>
      </c>
      <c r="C306" s="9">
        <v>2719</v>
      </c>
      <c r="D306" s="9" t="s">
        <v>88</v>
      </c>
      <c r="E306" s="34">
        <v>13</v>
      </c>
      <c r="F306" s="35" t="str">
        <f>IFERROR(LOOKUP(E306,CODIGOS!A:A,CODIGOS!B:B)," ")</f>
        <v>ENSAYO ORQUESTA</v>
      </c>
      <c r="G306" s="9"/>
      <c r="H306" s="36">
        <v>35</v>
      </c>
      <c r="I306" s="34">
        <v>43</v>
      </c>
      <c r="J306" s="9"/>
    </row>
    <row r="307" spans="1:10">
      <c r="A307" s="39">
        <v>306</v>
      </c>
      <c r="B307" s="33">
        <v>45048</v>
      </c>
      <c r="C307" s="40">
        <v>2597</v>
      </c>
      <c r="D307" s="9" t="s">
        <v>295</v>
      </c>
      <c r="E307" s="34">
        <v>13</v>
      </c>
      <c r="F307" s="35" t="str">
        <f>IFERROR(LOOKUP(E307,CODIGOS!A:A,CODIGOS!B:B)," ")</f>
        <v>ENSAYO ORQUESTA</v>
      </c>
      <c r="G307" s="9"/>
      <c r="H307" s="36">
        <v>35</v>
      </c>
      <c r="I307" s="34" t="s">
        <v>11</v>
      </c>
      <c r="J307" s="9"/>
    </row>
    <row r="308" spans="1:10">
      <c r="A308" s="39">
        <v>307</v>
      </c>
      <c r="B308" s="33">
        <v>45048</v>
      </c>
      <c r="C308" s="40">
        <v>2642</v>
      </c>
      <c r="D308" s="9" t="s">
        <v>296</v>
      </c>
      <c r="E308" s="34">
        <v>13</v>
      </c>
      <c r="F308" s="35" t="str">
        <f>IFERROR(LOOKUP(E308,CODIGOS!A:A,CODIGOS!B:B)," ")</f>
        <v>ENSAYO ORQUESTA</v>
      </c>
      <c r="G308" s="9"/>
      <c r="H308" s="36">
        <v>35</v>
      </c>
      <c r="I308" s="34" t="s">
        <v>11</v>
      </c>
      <c r="J308" s="9"/>
    </row>
    <row r="309" spans="1:10">
      <c r="A309" s="39">
        <v>308</v>
      </c>
      <c r="B309" s="33">
        <v>45048</v>
      </c>
      <c r="C309" s="40" t="s">
        <v>46</v>
      </c>
      <c r="D309" s="9" t="s">
        <v>297</v>
      </c>
      <c r="E309" s="34">
        <v>13</v>
      </c>
      <c r="F309" s="35" t="str">
        <f>IFERROR(LOOKUP(E309,CODIGOS!A:A,CODIGOS!B:B)," ")</f>
        <v>ENSAYO ORQUESTA</v>
      </c>
      <c r="G309" s="9"/>
      <c r="H309" s="36">
        <v>35</v>
      </c>
      <c r="I309" s="34" t="s">
        <v>20</v>
      </c>
      <c r="J309" s="9"/>
    </row>
    <row r="310" spans="1:10">
      <c r="A310" s="39">
        <v>309</v>
      </c>
      <c r="B310" s="33">
        <v>45048</v>
      </c>
      <c r="C310" s="40">
        <v>2021</v>
      </c>
      <c r="D310" s="9" t="s">
        <v>298</v>
      </c>
      <c r="E310" s="34">
        <v>14</v>
      </c>
      <c r="F310" s="35" t="str">
        <f>IFERROR(LOOKUP(E310,CODIGOS!A:A,CODIGOS!B:B)," ")</f>
        <v>BASÍLICA DE SAN JUAN DE DIOS</v>
      </c>
      <c r="G310" s="9"/>
      <c r="H310" s="36">
        <v>20</v>
      </c>
      <c r="I310" s="34" t="s">
        <v>11</v>
      </c>
      <c r="J310" s="9"/>
    </row>
    <row r="311" spans="1:10">
      <c r="A311" s="39">
        <v>310</v>
      </c>
      <c r="B311" s="33">
        <v>45048</v>
      </c>
      <c r="C311" s="40">
        <v>1913</v>
      </c>
      <c r="D311" s="9" t="s">
        <v>62</v>
      </c>
      <c r="E311" s="34">
        <v>14</v>
      </c>
      <c r="F311" s="35" t="str">
        <f>IFERROR(LOOKUP(E311,CODIGOS!A:A,CODIGOS!B:B)," ")</f>
        <v>BASÍLICA DE SAN JUAN DE DIOS</v>
      </c>
      <c r="G311" s="9"/>
      <c r="H311" s="36">
        <v>20</v>
      </c>
      <c r="I311" s="34" t="s">
        <v>11</v>
      </c>
      <c r="J311" s="9"/>
    </row>
    <row r="312" spans="1:10">
      <c r="A312" s="39">
        <v>311</v>
      </c>
      <c r="B312" s="33">
        <v>45048</v>
      </c>
      <c r="C312" s="40">
        <v>738</v>
      </c>
      <c r="D312" s="9" t="s">
        <v>299</v>
      </c>
      <c r="E312" s="34">
        <v>14</v>
      </c>
      <c r="F312" s="35" t="str">
        <f>IFERROR(LOOKUP(E312,CODIGOS!A:A,CODIGOS!B:B)," ")</f>
        <v>BASÍLICA DE SAN JUAN DE DIOS</v>
      </c>
      <c r="G312" s="9"/>
      <c r="H312" s="36">
        <v>20</v>
      </c>
      <c r="I312" s="34" t="s">
        <v>11</v>
      </c>
      <c r="J312" s="9"/>
    </row>
    <row r="313" spans="1:10">
      <c r="A313" s="39">
        <v>312</v>
      </c>
      <c r="B313" s="33">
        <v>45054</v>
      </c>
      <c r="C313" s="40">
        <v>2470</v>
      </c>
      <c r="D313" s="9" t="s">
        <v>300</v>
      </c>
      <c r="E313" s="34">
        <v>13</v>
      </c>
      <c r="F313" s="35" t="str">
        <f>IFERROR(LOOKUP(E313,CODIGOS!A:A,CODIGOS!B:B)," ")</f>
        <v>ENSAYO ORQUESTA</v>
      </c>
      <c r="G313" s="9"/>
      <c r="H313" s="36">
        <v>35</v>
      </c>
      <c r="I313" s="34" t="s">
        <v>11</v>
      </c>
      <c r="J313" s="9"/>
    </row>
    <row r="314" spans="1:10">
      <c r="A314" s="39">
        <v>313</v>
      </c>
      <c r="B314" s="33">
        <v>45054</v>
      </c>
      <c r="C314" s="40" t="s">
        <v>301</v>
      </c>
      <c r="D314" s="9" t="s">
        <v>302</v>
      </c>
      <c r="E314" s="34">
        <v>13</v>
      </c>
      <c r="F314" s="35" t="str">
        <f>IFERROR(LOOKUP(E314,CODIGOS!A:A,CODIGOS!B:B)," ")</f>
        <v>ENSAYO ORQUESTA</v>
      </c>
      <c r="G314" s="9"/>
      <c r="H314" s="36">
        <v>50</v>
      </c>
      <c r="I314" s="34"/>
      <c r="J314" s="9"/>
    </row>
    <row r="315" spans="1:10">
      <c r="A315" s="39">
        <v>314</v>
      </c>
      <c r="B315" s="33">
        <v>45054</v>
      </c>
      <c r="C315" s="40">
        <v>2377</v>
      </c>
      <c r="D315" s="9" t="s">
        <v>303</v>
      </c>
      <c r="E315" s="34">
        <v>13</v>
      </c>
      <c r="F315" s="35" t="str">
        <f>IFERROR(LOOKUP(E315,CODIGOS!A:A,CODIGOS!B:B)," ")</f>
        <v>ENSAYO ORQUESTA</v>
      </c>
      <c r="G315" s="9"/>
      <c r="H315" s="36">
        <v>35</v>
      </c>
      <c r="I315" s="34" t="s">
        <v>11</v>
      </c>
      <c r="J315" s="9"/>
    </row>
    <row r="316" spans="1:10">
      <c r="A316" s="39">
        <v>315</v>
      </c>
      <c r="B316" s="33">
        <v>45055</v>
      </c>
      <c r="C316" s="43" t="s">
        <v>20</v>
      </c>
      <c r="D316" s="9" t="s">
        <v>304</v>
      </c>
      <c r="E316" s="34">
        <v>13</v>
      </c>
      <c r="F316" s="35" t="str">
        <f>IFERROR(LOOKUP(E316,CODIGOS!A:A,CODIGOS!B:B)," ")</f>
        <v>ENSAYO ORQUESTA</v>
      </c>
      <c r="G316" s="9"/>
      <c r="H316" s="36">
        <v>50</v>
      </c>
      <c r="I316" s="43" t="s">
        <v>20</v>
      </c>
      <c r="J316" s="9"/>
    </row>
    <row r="317" spans="1:10">
      <c r="A317" s="39">
        <v>316</v>
      </c>
      <c r="B317" s="33">
        <v>45055</v>
      </c>
      <c r="C317" s="43" t="s">
        <v>20</v>
      </c>
      <c r="D317" s="9" t="s">
        <v>305</v>
      </c>
      <c r="E317" s="34">
        <v>13</v>
      </c>
      <c r="F317" s="35" t="str">
        <f>IFERROR(LOOKUP(E317,CODIGOS!A:A,CODIGOS!B:B)," ")</f>
        <v>ENSAYO ORQUESTA</v>
      </c>
      <c r="G317" s="9"/>
      <c r="H317" s="36">
        <v>50</v>
      </c>
      <c r="I317" s="43" t="s">
        <v>20</v>
      </c>
      <c r="J317" s="9"/>
    </row>
    <row r="318" spans="1:10">
      <c r="A318" s="39">
        <v>317</v>
      </c>
      <c r="B318" s="33">
        <v>45055</v>
      </c>
      <c r="C318" s="43" t="s">
        <v>11</v>
      </c>
      <c r="D318" s="9" t="s">
        <v>306</v>
      </c>
      <c r="E318" s="34">
        <v>13</v>
      </c>
      <c r="F318" s="35" t="str">
        <f>IFERROR(LOOKUP(E318,CODIGOS!A:A,CODIGOS!B:B)," ")</f>
        <v>ENSAYO ORQUESTA</v>
      </c>
      <c r="G318" s="9"/>
      <c r="H318" s="36">
        <v>35</v>
      </c>
      <c r="I318" s="43" t="s">
        <v>11</v>
      </c>
      <c r="J318" s="9"/>
    </row>
    <row r="319" spans="1:10">
      <c r="A319" s="39">
        <v>318</v>
      </c>
      <c r="B319" s="33">
        <v>45055</v>
      </c>
      <c r="C319" s="43" t="s">
        <v>20</v>
      </c>
      <c r="D319" s="9" t="s">
        <v>53</v>
      </c>
      <c r="E319" s="34">
        <v>13</v>
      </c>
      <c r="F319" s="35" t="str">
        <f>IFERROR(LOOKUP(E319,CODIGOS!A:A,CODIGOS!B:B)," ")</f>
        <v>ENSAYO ORQUESTA</v>
      </c>
      <c r="G319" s="9"/>
      <c r="H319" s="36">
        <v>50</v>
      </c>
      <c r="I319" s="43" t="s">
        <v>20</v>
      </c>
      <c r="J319" s="9"/>
    </row>
    <row r="320" spans="1:10">
      <c r="A320" s="39">
        <v>319</v>
      </c>
      <c r="B320" s="33">
        <v>45055</v>
      </c>
      <c r="C320" s="40">
        <v>2048</v>
      </c>
      <c r="D320" s="9" t="s">
        <v>307</v>
      </c>
      <c r="E320" s="34">
        <v>13</v>
      </c>
      <c r="F320" s="35" t="str">
        <f>IFERROR(LOOKUP(E320,CODIGOS!A:A,CODIGOS!B:B)," ")</f>
        <v>ENSAYO ORQUESTA</v>
      </c>
      <c r="G320" s="9"/>
      <c r="H320" s="36">
        <v>35</v>
      </c>
      <c r="I320" s="34" t="s">
        <v>11</v>
      </c>
      <c r="J320" s="9"/>
    </row>
    <row r="321" spans="1:10">
      <c r="A321" s="39">
        <v>320</v>
      </c>
      <c r="B321" s="33">
        <v>45055</v>
      </c>
      <c r="C321" s="40" t="s">
        <v>308</v>
      </c>
      <c r="D321" s="9" t="s">
        <v>309</v>
      </c>
      <c r="E321" s="34">
        <v>13</v>
      </c>
      <c r="F321" s="35" t="str">
        <f>IFERROR(LOOKUP(E321,CODIGOS!A:A,CODIGOS!B:B)," ")</f>
        <v>ENSAYO ORQUESTA</v>
      </c>
      <c r="G321" s="9"/>
      <c r="H321" s="36">
        <v>50</v>
      </c>
      <c r="I321" s="34"/>
      <c r="J321" s="9"/>
    </row>
    <row r="322" spans="1:10">
      <c r="A322" s="39">
        <v>321</v>
      </c>
      <c r="B322" s="33">
        <v>45055</v>
      </c>
      <c r="C322" s="40">
        <v>1971</v>
      </c>
      <c r="D322" s="9" t="s">
        <v>310</v>
      </c>
      <c r="E322" s="34">
        <v>13</v>
      </c>
      <c r="F322" s="35" t="str">
        <f>IFERROR(LOOKUP(E322,CODIGOS!A:A,CODIGOS!B:B)," ")</f>
        <v>ENSAYO ORQUESTA</v>
      </c>
      <c r="G322" s="9"/>
      <c r="H322" s="36">
        <v>35</v>
      </c>
      <c r="I322" s="34" t="s">
        <v>11</v>
      </c>
      <c r="J322" s="9"/>
    </row>
    <row r="323" spans="1:10">
      <c r="A323" s="39">
        <v>322</v>
      </c>
      <c r="B323" s="33">
        <v>45055</v>
      </c>
      <c r="C323" s="40" t="s">
        <v>311</v>
      </c>
      <c r="D323" s="9" t="s">
        <v>312</v>
      </c>
      <c r="E323" s="34">
        <v>13</v>
      </c>
      <c r="F323" s="35" t="str">
        <f>IFERROR(LOOKUP(E323,CODIGOS!A:A,CODIGOS!B:B)," ")</f>
        <v>ENSAYO ORQUESTA</v>
      </c>
      <c r="G323" s="9"/>
      <c r="H323" s="36">
        <v>50</v>
      </c>
      <c r="I323" s="34"/>
      <c r="J323" s="9"/>
    </row>
    <row r="324" spans="1:10">
      <c r="A324" s="39">
        <v>323</v>
      </c>
      <c r="B324" s="33">
        <v>45055</v>
      </c>
      <c r="C324" s="40">
        <v>2624</v>
      </c>
      <c r="D324" s="9" t="s">
        <v>313</v>
      </c>
      <c r="E324" s="34">
        <v>13</v>
      </c>
      <c r="F324" s="35" t="str">
        <f>IFERROR(LOOKUP(E324,CODIGOS!A:A,CODIGOS!B:B)," ")</f>
        <v>ENSAYO ORQUESTA</v>
      </c>
      <c r="G324" s="9"/>
      <c r="H324" s="36">
        <v>35</v>
      </c>
      <c r="I324" s="34" t="s">
        <v>11</v>
      </c>
      <c r="J324" s="9"/>
    </row>
    <row r="325" spans="1:10">
      <c r="A325" s="39">
        <v>324</v>
      </c>
      <c r="B325" s="33">
        <v>45055</v>
      </c>
      <c r="C325" s="9">
        <v>2610</v>
      </c>
      <c r="D325" s="9" t="s">
        <v>314</v>
      </c>
      <c r="E325" s="34">
        <v>13</v>
      </c>
      <c r="F325" s="35" t="str">
        <f>IFERROR(LOOKUP(E325,CODIGOS!A:A,CODIGOS!B:B)," ")</f>
        <v>ENSAYO ORQUESTA</v>
      </c>
      <c r="G325" s="9"/>
      <c r="H325" s="36">
        <v>35</v>
      </c>
      <c r="I325" s="34" t="s">
        <v>11</v>
      </c>
      <c r="J325" s="9"/>
    </row>
    <row r="326" spans="1:10">
      <c r="A326" s="39">
        <v>325</v>
      </c>
      <c r="B326" s="33">
        <v>45055</v>
      </c>
      <c r="C326" s="9">
        <v>2679</v>
      </c>
      <c r="D326" s="9" t="s">
        <v>95</v>
      </c>
      <c r="E326" s="34">
        <v>13</v>
      </c>
      <c r="F326" s="35" t="str">
        <f>IFERROR(LOOKUP(E326,CODIGOS!A:A,CODIGOS!B:B)," ")</f>
        <v>ENSAYO ORQUESTA</v>
      </c>
      <c r="G326" s="9"/>
      <c r="H326" s="36">
        <v>35</v>
      </c>
      <c r="I326" s="34" t="s">
        <v>11</v>
      </c>
      <c r="J326" s="9"/>
    </row>
    <row r="327" spans="1:10">
      <c r="A327" s="39">
        <v>326</v>
      </c>
      <c r="B327" s="33">
        <v>45055</v>
      </c>
      <c r="C327" s="9">
        <v>2400</v>
      </c>
      <c r="D327" s="9" t="s">
        <v>315</v>
      </c>
      <c r="E327" s="34">
        <v>13</v>
      </c>
      <c r="F327" s="35" t="str">
        <f>IFERROR(LOOKUP(E327,CODIGOS!A:A,CODIGOS!B:B)," ")</f>
        <v>ENSAYO ORQUESTA</v>
      </c>
      <c r="G327" s="9"/>
      <c r="H327" s="36">
        <v>35</v>
      </c>
      <c r="I327" s="34" t="s">
        <v>11</v>
      </c>
      <c r="J327" s="9"/>
    </row>
    <row r="328" spans="1:10">
      <c r="A328" s="39">
        <v>327</v>
      </c>
      <c r="B328" s="33">
        <v>45055</v>
      </c>
      <c r="C328" s="9">
        <v>2647</v>
      </c>
      <c r="D328" s="9" t="s">
        <v>316</v>
      </c>
      <c r="E328" s="34">
        <v>13</v>
      </c>
      <c r="F328" s="35" t="str">
        <f>IFERROR(LOOKUP(E328,CODIGOS!A:A,CODIGOS!B:B)," ")</f>
        <v>ENSAYO ORQUESTA</v>
      </c>
      <c r="G328" s="9"/>
      <c r="H328" s="36">
        <v>35</v>
      </c>
      <c r="I328" s="34" t="s">
        <v>11</v>
      </c>
      <c r="J328" s="9"/>
    </row>
    <row r="329" spans="1:10">
      <c r="A329" s="39">
        <v>328</v>
      </c>
      <c r="B329" s="33">
        <v>45055</v>
      </c>
      <c r="C329" s="9">
        <v>2575</v>
      </c>
      <c r="D329" s="9" t="s">
        <v>317</v>
      </c>
      <c r="E329" s="34">
        <v>13</v>
      </c>
      <c r="F329" s="35" t="str">
        <f>IFERROR(LOOKUP(E329,CODIGOS!A:A,CODIGOS!B:B)," ")</f>
        <v>ENSAYO ORQUESTA</v>
      </c>
      <c r="G329" s="9"/>
      <c r="H329" s="36">
        <v>35</v>
      </c>
      <c r="I329" s="34" t="s">
        <v>11</v>
      </c>
      <c r="J329" s="9"/>
    </row>
    <row r="330" spans="1:10">
      <c r="A330" s="39">
        <v>329</v>
      </c>
      <c r="B330" s="33">
        <v>45056</v>
      </c>
      <c r="C330" s="40">
        <v>1901</v>
      </c>
      <c r="D330" s="9" t="s">
        <v>318</v>
      </c>
      <c r="E330" s="34">
        <v>13</v>
      </c>
      <c r="F330" s="35" t="str">
        <f>IFERROR(LOOKUP(E330,CODIGOS!A:A,CODIGOS!B:B)," ")</f>
        <v>ENSAYO ORQUESTA</v>
      </c>
      <c r="G330" s="9"/>
      <c r="H330" s="36">
        <v>35</v>
      </c>
      <c r="I330" s="34" t="s">
        <v>11</v>
      </c>
      <c r="J330" s="9"/>
    </row>
    <row r="331" spans="1:10">
      <c r="A331" s="39">
        <v>330</v>
      </c>
      <c r="B331" s="33">
        <v>45056</v>
      </c>
      <c r="C331" s="40" t="s">
        <v>319</v>
      </c>
      <c r="D331" s="9" t="s">
        <v>320</v>
      </c>
      <c r="E331" s="34">
        <v>13</v>
      </c>
      <c r="F331" s="35" t="str">
        <f>IFERROR(LOOKUP(E331,CODIGOS!A:A,CODIGOS!B:B)," ")</f>
        <v>ENSAYO ORQUESTA</v>
      </c>
      <c r="G331" s="9"/>
      <c r="H331" s="36">
        <v>35</v>
      </c>
      <c r="I331" s="34" t="s">
        <v>20</v>
      </c>
      <c r="J331" s="9"/>
    </row>
    <row r="332" spans="1:10">
      <c r="A332" s="39">
        <v>331</v>
      </c>
      <c r="B332" s="33">
        <v>45056</v>
      </c>
      <c r="C332" s="40">
        <v>2436</v>
      </c>
      <c r="D332" s="9" t="s">
        <v>321</v>
      </c>
      <c r="E332" s="34">
        <v>13</v>
      </c>
      <c r="F332" s="35" t="str">
        <f>IFERROR(LOOKUP(E332,CODIGOS!A:A,CODIGOS!B:B)," ")</f>
        <v>ENSAYO ORQUESTA</v>
      </c>
      <c r="G332" s="9"/>
      <c r="H332" s="36">
        <v>35</v>
      </c>
      <c r="I332" s="34" t="s">
        <v>11</v>
      </c>
      <c r="J332" s="9"/>
    </row>
    <row r="333" spans="1:10">
      <c r="A333" s="39">
        <v>332</v>
      </c>
      <c r="B333" s="33">
        <v>45056</v>
      </c>
      <c r="C333" s="40">
        <v>2553</v>
      </c>
      <c r="D333" s="9" t="s">
        <v>322</v>
      </c>
      <c r="E333" s="34">
        <v>13</v>
      </c>
      <c r="F333" s="35" t="str">
        <f>IFERROR(LOOKUP(E333,CODIGOS!A:A,CODIGOS!B:B)," ")</f>
        <v>ENSAYO ORQUESTA</v>
      </c>
      <c r="G333" s="9"/>
      <c r="H333" s="36">
        <v>35</v>
      </c>
      <c r="I333" s="34" t="s">
        <v>11</v>
      </c>
      <c r="J333" s="9"/>
    </row>
    <row r="334" spans="1:10">
      <c r="A334" s="39">
        <v>333</v>
      </c>
      <c r="B334" s="33">
        <v>45056</v>
      </c>
      <c r="C334" s="40">
        <v>2730</v>
      </c>
      <c r="D334" s="9" t="s">
        <v>323</v>
      </c>
      <c r="E334" s="34">
        <v>13</v>
      </c>
      <c r="F334" s="35" t="str">
        <f>IFERROR(LOOKUP(E334,CODIGOS!A:A,CODIGOS!B:B)," ")</f>
        <v>ENSAYO ORQUESTA</v>
      </c>
      <c r="G334" s="9"/>
      <c r="H334" s="36">
        <v>35</v>
      </c>
      <c r="I334" s="34" t="s">
        <v>11</v>
      </c>
      <c r="J334" s="9"/>
    </row>
    <row r="335" spans="1:10">
      <c r="A335" s="39">
        <v>334</v>
      </c>
      <c r="B335" s="33">
        <v>45056</v>
      </c>
      <c r="C335" s="9" t="s">
        <v>324</v>
      </c>
      <c r="D335" s="9" t="s">
        <v>325</v>
      </c>
      <c r="E335" s="34">
        <v>13</v>
      </c>
      <c r="F335" s="35" t="str">
        <f>IFERROR(LOOKUP(E335,CODIGOS!A:A,CODIGOS!B:B)," ")</f>
        <v>ENSAYO ORQUESTA</v>
      </c>
      <c r="G335" s="9"/>
      <c r="H335" s="36">
        <v>50</v>
      </c>
      <c r="I335" s="34" t="s">
        <v>20</v>
      </c>
      <c r="J335" s="9"/>
    </row>
    <row r="336" spans="1:10">
      <c r="A336" s="39">
        <v>335</v>
      </c>
      <c r="B336" s="33">
        <v>45056</v>
      </c>
      <c r="C336" s="9">
        <v>1967</v>
      </c>
      <c r="D336" s="9" t="s">
        <v>326</v>
      </c>
      <c r="E336" s="34">
        <v>13</v>
      </c>
      <c r="F336" s="35" t="str">
        <f>IFERROR(LOOKUP(E336,CODIGOS!A:A,CODIGOS!B:B)," ")</f>
        <v>ENSAYO ORQUESTA</v>
      </c>
      <c r="G336" s="9"/>
      <c r="H336" s="36">
        <v>35</v>
      </c>
      <c r="I336" s="34" t="s">
        <v>11</v>
      </c>
      <c r="J336" s="9"/>
    </row>
    <row r="337" spans="1:10">
      <c r="A337" s="39">
        <v>336</v>
      </c>
      <c r="B337" s="33">
        <v>45056</v>
      </c>
      <c r="C337" s="9">
        <v>2270</v>
      </c>
      <c r="D337" s="9" t="s">
        <v>327</v>
      </c>
      <c r="E337" s="34">
        <v>13</v>
      </c>
      <c r="F337" s="35" t="str">
        <f>IFERROR(LOOKUP(E337,CODIGOS!A:A,CODIGOS!B:B)," ")</f>
        <v>ENSAYO ORQUESTA</v>
      </c>
      <c r="G337" s="9"/>
      <c r="H337" s="36">
        <v>35</v>
      </c>
      <c r="I337" s="34"/>
      <c r="J337" s="9"/>
    </row>
    <row r="338" spans="1:10">
      <c r="A338" s="39">
        <v>337</v>
      </c>
      <c r="B338" s="33">
        <v>45056</v>
      </c>
      <c r="C338" s="9" t="s">
        <v>328</v>
      </c>
      <c r="D338" s="9" t="s">
        <v>329</v>
      </c>
      <c r="E338" s="34">
        <v>13</v>
      </c>
      <c r="F338" s="35" t="str">
        <f>IFERROR(LOOKUP(E338,CODIGOS!A:A,CODIGOS!B:B)," ")</f>
        <v>ENSAYO ORQUESTA</v>
      </c>
      <c r="G338" s="9"/>
      <c r="H338" s="36">
        <v>50</v>
      </c>
      <c r="I338" s="34" t="s">
        <v>20</v>
      </c>
      <c r="J338" s="9"/>
    </row>
    <row r="339" spans="1:10">
      <c r="A339" s="39">
        <v>338</v>
      </c>
      <c r="B339" s="33">
        <v>45056</v>
      </c>
      <c r="C339" s="9" t="s">
        <v>330</v>
      </c>
      <c r="D339" s="9" t="s">
        <v>331</v>
      </c>
      <c r="E339" s="34">
        <v>13</v>
      </c>
      <c r="F339" s="35" t="str">
        <f>IFERROR(LOOKUP(E339,CODIGOS!A:A,CODIGOS!B:B)," ")</f>
        <v>ENSAYO ORQUESTA</v>
      </c>
      <c r="G339" s="9"/>
      <c r="H339" s="36">
        <v>50</v>
      </c>
      <c r="I339" s="34" t="s">
        <v>20</v>
      </c>
      <c r="J339" s="9"/>
    </row>
    <row r="340" spans="1:10">
      <c r="A340" s="39">
        <v>339</v>
      </c>
      <c r="B340" s="33">
        <v>45056</v>
      </c>
      <c r="C340" s="9">
        <v>2712</v>
      </c>
      <c r="D340" s="9" t="s">
        <v>332</v>
      </c>
      <c r="E340" s="34">
        <v>13</v>
      </c>
      <c r="F340" s="35" t="str">
        <f>IFERROR(LOOKUP(E340,CODIGOS!A:A,CODIGOS!B:B)," ")</f>
        <v>ENSAYO ORQUESTA</v>
      </c>
      <c r="G340" s="9"/>
      <c r="H340" s="36">
        <v>35</v>
      </c>
      <c r="I340" s="34"/>
      <c r="J340" s="9"/>
    </row>
    <row r="341" spans="1:10">
      <c r="A341" s="39">
        <v>340</v>
      </c>
      <c r="B341" s="33">
        <v>45056</v>
      </c>
      <c r="C341" s="9" t="s">
        <v>333</v>
      </c>
      <c r="D341" s="9" t="s">
        <v>334</v>
      </c>
      <c r="E341" s="34">
        <v>13</v>
      </c>
      <c r="F341" s="35" t="str">
        <f>IFERROR(LOOKUP(E341,CODIGOS!A:A,CODIGOS!B:B)," ")</f>
        <v>ENSAYO ORQUESTA</v>
      </c>
      <c r="G341" s="9"/>
      <c r="H341" s="36">
        <v>50</v>
      </c>
      <c r="I341" s="34" t="s">
        <v>20</v>
      </c>
      <c r="J341" s="9"/>
    </row>
    <row r="342" spans="1:10">
      <c r="A342" s="39">
        <v>341</v>
      </c>
      <c r="B342" s="33">
        <v>45057</v>
      </c>
      <c r="C342" s="40"/>
      <c r="D342" s="9" t="s">
        <v>335</v>
      </c>
      <c r="E342" s="34">
        <v>13</v>
      </c>
      <c r="F342" s="35" t="str">
        <f>IFERROR(LOOKUP(E342,CODIGOS!A:A,CODIGOS!B:B)," ")</f>
        <v>ENSAYO ORQUESTA</v>
      </c>
      <c r="G342" s="9"/>
      <c r="H342" s="36">
        <v>50</v>
      </c>
      <c r="I342" s="34"/>
      <c r="J342" s="9"/>
    </row>
    <row r="343" spans="1:10">
      <c r="A343" s="39">
        <v>342</v>
      </c>
      <c r="B343" s="33">
        <v>45057</v>
      </c>
      <c r="C343" s="40"/>
      <c r="D343" s="9" t="s">
        <v>336</v>
      </c>
      <c r="E343" s="34">
        <v>13</v>
      </c>
      <c r="F343" s="35" t="str">
        <f>IFERROR(LOOKUP(E343,CODIGOS!A:A,CODIGOS!B:B)," ")</f>
        <v>ENSAYO ORQUESTA</v>
      </c>
      <c r="G343" s="9"/>
      <c r="H343" s="36">
        <v>50</v>
      </c>
      <c r="I343" s="34"/>
      <c r="J343" s="9"/>
    </row>
    <row r="344" spans="1:10" ht="15">
      <c r="A344" s="39">
        <v>343</v>
      </c>
      <c r="B344" s="33">
        <v>45061</v>
      </c>
      <c r="C344" s="15"/>
      <c r="D344" s="9" t="s">
        <v>337</v>
      </c>
      <c r="E344" s="34">
        <v>13</v>
      </c>
      <c r="F344" s="35" t="str">
        <f>IFERROR(LOOKUP(E344,CODIGOS!A:A,CODIGOS!B:B)," ")</f>
        <v>ENSAYO ORQUESTA</v>
      </c>
      <c r="G344" s="9"/>
      <c r="H344" s="36">
        <v>35</v>
      </c>
      <c r="I344" s="5"/>
      <c r="J344" s="9"/>
    </row>
    <row r="345" spans="1:10" ht="15">
      <c r="A345" s="39">
        <v>344</v>
      </c>
      <c r="B345" s="33">
        <v>45061</v>
      </c>
      <c r="C345" s="15"/>
      <c r="D345" s="9" t="s">
        <v>338</v>
      </c>
      <c r="E345" s="34">
        <v>13</v>
      </c>
      <c r="F345" s="35" t="str">
        <f>IFERROR(LOOKUP(E345,CODIGOS!A:A,CODIGOS!B:B)," ")</f>
        <v>ENSAYO ORQUESTA</v>
      </c>
      <c r="G345" s="9"/>
      <c r="H345" s="36">
        <v>35</v>
      </c>
      <c r="I345" s="5"/>
      <c r="J345" s="9"/>
    </row>
    <row r="346" spans="1:10" ht="15">
      <c r="A346" s="39">
        <v>345</v>
      </c>
      <c r="B346" s="33">
        <v>45061</v>
      </c>
      <c r="C346" s="15"/>
      <c r="D346" s="9" t="s">
        <v>339</v>
      </c>
      <c r="E346" s="34">
        <v>13</v>
      </c>
      <c r="F346" s="35" t="str">
        <f>IFERROR(LOOKUP(E346,CODIGOS!A:A,CODIGOS!B:B)," ")</f>
        <v>ENSAYO ORQUESTA</v>
      </c>
      <c r="G346" s="9"/>
      <c r="H346" s="36">
        <v>35</v>
      </c>
      <c r="I346" s="5"/>
      <c r="J346" s="9"/>
    </row>
    <row r="347" spans="1:10" ht="15">
      <c r="A347" s="39">
        <v>346</v>
      </c>
      <c r="B347" s="33">
        <v>45061</v>
      </c>
      <c r="C347" s="15"/>
      <c r="D347" s="9" t="s">
        <v>340</v>
      </c>
      <c r="E347" s="34">
        <v>13</v>
      </c>
      <c r="F347" s="35" t="str">
        <f>IFERROR(LOOKUP(E347,CODIGOS!A:A,CODIGOS!B:B)," ")</f>
        <v>ENSAYO ORQUESTA</v>
      </c>
      <c r="G347" s="9"/>
      <c r="H347" s="36">
        <v>35</v>
      </c>
      <c r="I347" s="5"/>
      <c r="J347" s="9"/>
    </row>
    <row r="348" spans="1:10" ht="15">
      <c r="A348" s="39">
        <v>347</v>
      </c>
      <c r="B348" s="33">
        <v>45061</v>
      </c>
      <c r="C348" s="15"/>
      <c r="D348" s="9" t="s">
        <v>341</v>
      </c>
      <c r="E348" s="34">
        <v>13</v>
      </c>
      <c r="F348" s="35" t="str">
        <f>IFERROR(LOOKUP(E348,CODIGOS!A:A,CODIGOS!B:B)," ")</f>
        <v>ENSAYO ORQUESTA</v>
      </c>
      <c r="G348" s="9"/>
      <c r="H348" s="36">
        <v>35</v>
      </c>
      <c r="I348" s="5"/>
      <c r="J348" s="9"/>
    </row>
    <row r="349" spans="1:10">
      <c r="A349" s="39">
        <v>348</v>
      </c>
      <c r="B349" s="33">
        <v>45062</v>
      </c>
      <c r="C349" s="40">
        <v>2556</v>
      </c>
      <c r="D349" s="9" t="s">
        <v>342</v>
      </c>
      <c r="E349" s="34">
        <v>13</v>
      </c>
      <c r="F349" s="35" t="str">
        <f>IFERROR(LOOKUP(E349,CODIGOS!A:A,CODIGOS!B:B)," ")</f>
        <v>ENSAYO ORQUESTA</v>
      </c>
      <c r="G349" s="9"/>
      <c r="H349" s="36">
        <v>35</v>
      </c>
      <c r="I349" s="34" t="s">
        <v>11</v>
      </c>
      <c r="J349" s="9"/>
    </row>
    <row r="350" spans="1:10">
      <c r="A350" s="39">
        <v>349</v>
      </c>
      <c r="B350" s="33">
        <v>45062</v>
      </c>
      <c r="C350" s="40">
        <v>2577</v>
      </c>
      <c r="D350" s="9" t="s">
        <v>343</v>
      </c>
      <c r="E350" s="34">
        <v>13</v>
      </c>
      <c r="F350" s="35" t="str">
        <f>IFERROR(LOOKUP(E350,CODIGOS!A:A,CODIGOS!B:B)," ")</f>
        <v>ENSAYO ORQUESTA</v>
      </c>
      <c r="G350" s="9"/>
      <c r="H350" s="36">
        <v>35</v>
      </c>
      <c r="I350" s="34" t="s">
        <v>11</v>
      </c>
      <c r="J350" s="9"/>
    </row>
    <row r="351" spans="1:10">
      <c r="A351" s="39">
        <v>350</v>
      </c>
      <c r="B351" s="33">
        <v>45062</v>
      </c>
      <c r="C351" s="40">
        <v>2596</v>
      </c>
      <c r="D351" s="9" t="s">
        <v>344</v>
      </c>
      <c r="E351" s="34">
        <v>13</v>
      </c>
      <c r="F351" s="35" t="str">
        <f>IFERROR(LOOKUP(E351,CODIGOS!A:A,CODIGOS!B:B)," ")</f>
        <v>ENSAYO ORQUESTA</v>
      </c>
      <c r="G351" s="9"/>
      <c r="H351" s="36">
        <v>35</v>
      </c>
      <c r="I351" s="34" t="s">
        <v>11</v>
      </c>
      <c r="J351" s="9"/>
    </row>
    <row r="352" spans="1:10">
      <c r="A352" s="39">
        <v>351</v>
      </c>
      <c r="B352" s="33">
        <v>45062</v>
      </c>
      <c r="C352" s="40">
        <v>2434</v>
      </c>
      <c r="D352" s="9" t="s">
        <v>345</v>
      </c>
      <c r="E352" s="34">
        <v>13</v>
      </c>
      <c r="F352" s="35" t="str">
        <f>IFERROR(LOOKUP(E352,CODIGOS!A:A,CODIGOS!B:B)," ")</f>
        <v>ENSAYO ORQUESTA</v>
      </c>
      <c r="G352" s="9"/>
      <c r="H352" s="36">
        <v>35</v>
      </c>
      <c r="I352" s="34" t="s">
        <v>11</v>
      </c>
      <c r="J352" s="9"/>
    </row>
    <row r="353" spans="1:10">
      <c r="A353" s="39">
        <v>352</v>
      </c>
      <c r="B353" s="33">
        <v>45062</v>
      </c>
      <c r="C353" s="40">
        <v>2435</v>
      </c>
      <c r="D353" s="9" t="s">
        <v>346</v>
      </c>
      <c r="E353" s="34">
        <v>13</v>
      </c>
      <c r="F353" s="35" t="str">
        <f>IFERROR(LOOKUP(E353,CODIGOS!A:A,CODIGOS!B:B)," ")</f>
        <v>ENSAYO ORQUESTA</v>
      </c>
      <c r="G353" s="9"/>
      <c r="H353" s="36">
        <v>35</v>
      </c>
      <c r="I353" s="34" t="s">
        <v>11</v>
      </c>
      <c r="J353" s="9"/>
    </row>
    <row r="354" spans="1:10">
      <c r="A354" s="39">
        <v>353</v>
      </c>
      <c r="B354" s="33">
        <v>45173</v>
      </c>
      <c r="C354" s="40">
        <v>1928</v>
      </c>
      <c r="D354" s="9" t="s">
        <v>347</v>
      </c>
      <c r="E354" s="34">
        <v>55</v>
      </c>
      <c r="F354" s="35">
        <f>IFERROR(LOOKUP(E354,CODIGOS!A:A,CODIGOS!B:B)," ")</f>
        <v>0</v>
      </c>
      <c r="G354" s="9"/>
      <c r="H354" s="36">
        <v>25</v>
      </c>
      <c r="I354" s="34" t="s">
        <v>11</v>
      </c>
      <c r="J354" s="9"/>
    </row>
    <row r="355" spans="1:10">
      <c r="A355" s="39">
        <v>354</v>
      </c>
      <c r="B355" s="33">
        <v>45173</v>
      </c>
      <c r="C355" s="40">
        <v>1945</v>
      </c>
      <c r="D355" s="9" t="s">
        <v>348</v>
      </c>
      <c r="E355" s="34">
        <v>55</v>
      </c>
      <c r="F355" s="35">
        <f>IFERROR(LOOKUP(E355,CODIGOS!A:A,CODIGOS!B:B)," ")</f>
        <v>0</v>
      </c>
      <c r="G355" s="9"/>
      <c r="H355" s="36">
        <v>25</v>
      </c>
      <c r="I355" s="34" t="s">
        <v>115</v>
      </c>
      <c r="J355" s="9"/>
    </row>
    <row r="356" spans="1:10">
      <c r="A356" s="39">
        <v>355</v>
      </c>
      <c r="B356" s="33">
        <v>45173</v>
      </c>
      <c r="C356" s="40">
        <v>1823</v>
      </c>
      <c r="D356" s="9" t="s">
        <v>349</v>
      </c>
      <c r="E356" s="34">
        <v>55</v>
      </c>
      <c r="F356" s="35">
        <f>IFERROR(LOOKUP(E356,CODIGOS!A:A,CODIGOS!B:B)," ")</f>
        <v>0</v>
      </c>
      <c r="G356" s="9"/>
      <c r="H356" s="36">
        <v>25</v>
      </c>
      <c r="I356" s="34" t="s">
        <v>115</v>
      </c>
      <c r="J356" s="9"/>
    </row>
    <row r="357" spans="1:10">
      <c r="A357" s="39">
        <v>356</v>
      </c>
      <c r="B357" s="33">
        <v>45173</v>
      </c>
      <c r="C357" s="40">
        <v>2310</v>
      </c>
      <c r="D357" s="9" t="s">
        <v>350</v>
      </c>
      <c r="E357" s="34">
        <v>55</v>
      </c>
      <c r="F357" s="35">
        <f>IFERROR(LOOKUP(E357,CODIGOS!A:A,CODIGOS!B:B)," ")</f>
        <v>0</v>
      </c>
      <c r="G357" s="9"/>
      <c r="H357" s="36">
        <v>25</v>
      </c>
      <c r="I357" s="34" t="s">
        <v>11</v>
      </c>
      <c r="J357" s="9"/>
    </row>
    <row r="358" spans="1:10">
      <c r="A358" s="39">
        <v>357</v>
      </c>
      <c r="B358" s="33">
        <v>45173</v>
      </c>
      <c r="C358" s="40">
        <v>2127</v>
      </c>
      <c r="D358" s="9" t="s">
        <v>351</v>
      </c>
      <c r="E358" s="34">
        <v>55</v>
      </c>
      <c r="F358" s="35">
        <f>IFERROR(LOOKUP(E358,CODIGOS!A:A,CODIGOS!B:B)," ")</f>
        <v>0</v>
      </c>
      <c r="G358" s="9"/>
      <c r="H358" s="36">
        <v>25</v>
      </c>
      <c r="I358" s="34" t="s">
        <v>11</v>
      </c>
      <c r="J358" s="9"/>
    </row>
    <row r="359" spans="1:10">
      <c r="A359" s="39">
        <v>358</v>
      </c>
      <c r="B359" s="33">
        <v>45173</v>
      </c>
      <c r="C359" s="9">
        <v>2324</v>
      </c>
      <c r="D359" s="9" t="s">
        <v>352</v>
      </c>
      <c r="E359" s="34">
        <v>55</v>
      </c>
      <c r="F359" s="35">
        <f>IFERROR(LOOKUP(E359,CODIGOS!A:A,CODIGOS!B:B)," ")</f>
        <v>0</v>
      </c>
      <c r="G359" s="9"/>
      <c r="H359" s="36">
        <v>25</v>
      </c>
      <c r="I359" s="34" t="s">
        <v>11</v>
      </c>
      <c r="J359" s="9"/>
    </row>
    <row r="360" spans="1:10">
      <c r="A360" s="39">
        <v>359</v>
      </c>
      <c r="B360" s="33">
        <v>45173</v>
      </c>
      <c r="C360" s="9">
        <v>2572</v>
      </c>
      <c r="D360" s="9" t="s">
        <v>353</v>
      </c>
      <c r="E360" s="34">
        <v>55</v>
      </c>
      <c r="F360" s="35">
        <f>IFERROR(LOOKUP(E360,CODIGOS!A:A,CODIGOS!B:B)," ")</f>
        <v>0</v>
      </c>
      <c r="G360" s="9"/>
      <c r="H360" s="36">
        <v>25</v>
      </c>
      <c r="I360" s="34" t="s">
        <v>11</v>
      </c>
      <c r="J360" s="9"/>
    </row>
    <row r="361" spans="1:10">
      <c r="A361" s="39">
        <v>360</v>
      </c>
      <c r="B361" s="33">
        <v>45173</v>
      </c>
      <c r="C361" s="9">
        <v>2392</v>
      </c>
      <c r="D361" s="9" t="s">
        <v>354</v>
      </c>
      <c r="E361" s="34">
        <v>55</v>
      </c>
      <c r="F361" s="35">
        <f>IFERROR(LOOKUP(E361,CODIGOS!A:A,CODIGOS!B:B)," ")</f>
        <v>0</v>
      </c>
      <c r="G361" s="9"/>
      <c r="H361" s="36">
        <v>25</v>
      </c>
      <c r="I361" s="34" t="s">
        <v>11</v>
      </c>
      <c r="J361" s="9"/>
    </row>
    <row r="362" spans="1:10">
      <c r="A362" s="39">
        <v>361</v>
      </c>
      <c r="B362" s="33">
        <v>45173</v>
      </c>
      <c r="C362" s="9">
        <v>1803</v>
      </c>
      <c r="D362" s="9" t="s">
        <v>355</v>
      </c>
      <c r="E362" s="34">
        <v>55</v>
      </c>
      <c r="F362" s="35">
        <f>IFERROR(LOOKUP(E362,CODIGOS!A:A,CODIGOS!B:B)," ")</f>
        <v>0</v>
      </c>
      <c r="G362" s="9"/>
      <c r="H362" s="36">
        <v>25</v>
      </c>
      <c r="I362" s="34" t="s">
        <v>20</v>
      </c>
      <c r="J362" s="9"/>
    </row>
    <row r="363" spans="1:10">
      <c r="A363" s="39">
        <v>362</v>
      </c>
      <c r="B363" s="33">
        <v>45173</v>
      </c>
      <c r="C363" s="9">
        <v>1981</v>
      </c>
      <c r="D363" s="9" t="s">
        <v>356</v>
      </c>
      <c r="E363" s="34">
        <v>55</v>
      </c>
      <c r="F363" s="35">
        <f>IFERROR(LOOKUP(E363,CODIGOS!A:A,CODIGOS!B:B)," ")</f>
        <v>0</v>
      </c>
      <c r="G363" s="9"/>
      <c r="H363" s="36">
        <v>25</v>
      </c>
      <c r="I363" s="34" t="s">
        <v>20</v>
      </c>
      <c r="J363" s="9"/>
    </row>
    <row r="364" spans="1:10">
      <c r="A364" s="39">
        <v>363</v>
      </c>
      <c r="B364" s="33">
        <v>45173</v>
      </c>
      <c r="C364" s="9">
        <v>2601</v>
      </c>
      <c r="D364" s="9" t="s">
        <v>357</v>
      </c>
      <c r="E364" s="34">
        <v>55</v>
      </c>
      <c r="F364" s="35">
        <f>IFERROR(LOOKUP(E364,CODIGOS!A:A,CODIGOS!B:B)," ")</f>
        <v>0</v>
      </c>
      <c r="G364" s="9"/>
      <c r="H364" s="36">
        <v>25</v>
      </c>
      <c r="I364" s="34" t="s">
        <v>11</v>
      </c>
      <c r="J364" s="9"/>
    </row>
    <row r="365" spans="1:10">
      <c r="A365" s="39">
        <v>364</v>
      </c>
      <c r="B365" s="33">
        <v>45173</v>
      </c>
      <c r="C365" s="9">
        <v>2691</v>
      </c>
      <c r="D365" s="9" t="s">
        <v>358</v>
      </c>
      <c r="E365" s="34">
        <v>55</v>
      </c>
      <c r="F365" s="35">
        <f>IFERROR(LOOKUP(E365,CODIGOS!A:A,CODIGOS!B:B)," ")</f>
        <v>0</v>
      </c>
      <c r="G365" s="9"/>
      <c r="H365" s="36">
        <v>25</v>
      </c>
      <c r="I365" s="34" t="s">
        <v>11</v>
      </c>
      <c r="J365" s="9"/>
    </row>
    <row r="366" spans="1:10">
      <c r="A366" s="39">
        <v>365</v>
      </c>
      <c r="B366" s="33">
        <v>45173</v>
      </c>
      <c r="C366" s="9">
        <v>2275</v>
      </c>
      <c r="D366" s="9" t="s">
        <v>359</v>
      </c>
      <c r="E366" s="34">
        <v>55</v>
      </c>
      <c r="F366" s="35">
        <f>IFERROR(LOOKUP(E366,CODIGOS!A:A,CODIGOS!B:B)," ")</f>
        <v>0</v>
      </c>
      <c r="G366" s="9"/>
      <c r="H366" s="36">
        <v>25</v>
      </c>
      <c r="I366" s="34" t="s">
        <v>11</v>
      </c>
      <c r="J366" s="9"/>
    </row>
    <row r="367" spans="1:10">
      <c r="A367" s="39">
        <v>366</v>
      </c>
      <c r="B367" s="33">
        <v>45173</v>
      </c>
      <c r="C367" s="9">
        <v>2426</v>
      </c>
      <c r="D367" s="9" t="s">
        <v>360</v>
      </c>
      <c r="E367" s="34">
        <v>55</v>
      </c>
      <c r="F367" s="35">
        <f>IFERROR(LOOKUP(E367,CODIGOS!A:A,CODIGOS!B:B)," ")</f>
        <v>0</v>
      </c>
      <c r="G367" s="9"/>
      <c r="H367" s="36">
        <v>25</v>
      </c>
      <c r="I367" s="34" t="s">
        <v>11</v>
      </c>
      <c r="J367" s="9"/>
    </row>
    <row r="368" spans="1:10">
      <c r="A368" s="39">
        <v>367</v>
      </c>
      <c r="B368" s="33">
        <v>45173</v>
      </c>
      <c r="C368" s="9">
        <v>2109</v>
      </c>
      <c r="D368" s="9" t="s">
        <v>361</v>
      </c>
      <c r="E368" s="34">
        <v>55</v>
      </c>
      <c r="F368" s="35">
        <f>IFERROR(LOOKUP(E368,CODIGOS!A:A,CODIGOS!B:B)," ")</f>
        <v>0</v>
      </c>
      <c r="G368" s="9"/>
      <c r="H368" s="36">
        <v>25</v>
      </c>
      <c r="I368" s="34" t="s">
        <v>20</v>
      </c>
      <c r="J368" s="9"/>
    </row>
    <row r="369" spans="1:10">
      <c r="A369" s="39">
        <v>368</v>
      </c>
      <c r="B369" s="33">
        <v>45173</v>
      </c>
      <c r="C369" s="9">
        <v>2108</v>
      </c>
      <c r="D369" s="9" t="s">
        <v>57</v>
      </c>
      <c r="E369" s="34">
        <v>55</v>
      </c>
      <c r="F369" s="35">
        <f>IFERROR(LOOKUP(E369,CODIGOS!A:A,CODIGOS!B:B)," ")</f>
        <v>0</v>
      </c>
      <c r="G369" s="9"/>
      <c r="H369" s="36">
        <v>25</v>
      </c>
      <c r="I369" s="34" t="s">
        <v>20</v>
      </c>
      <c r="J369" s="9"/>
    </row>
    <row r="370" spans="1:10">
      <c r="A370" s="39">
        <v>369</v>
      </c>
      <c r="B370" s="33">
        <v>45173</v>
      </c>
      <c r="C370" s="9">
        <v>2634</v>
      </c>
      <c r="D370" s="9" t="s">
        <v>362</v>
      </c>
      <c r="E370" s="34">
        <v>55</v>
      </c>
      <c r="F370" s="35">
        <f>IFERROR(LOOKUP(E370,CODIGOS!A:A,CODIGOS!B:B)," ")</f>
        <v>0</v>
      </c>
      <c r="G370" s="9"/>
      <c r="H370" s="42">
        <v>25</v>
      </c>
      <c r="I370" s="34" t="s">
        <v>11</v>
      </c>
      <c r="J370" s="9"/>
    </row>
    <row r="371" spans="1:10">
      <c r="A371" s="39">
        <v>370</v>
      </c>
      <c r="B371" s="33">
        <v>45173</v>
      </c>
      <c r="C371" s="9">
        <v>1919</v>
      </c>
      <c r="D371" s="9" t="s">
        <v>363</v>
      </c>
      <c r="E371" s="34">
        <v>55</v>
      </c>
      <c r="F371" s="35">
        <f>IFERROR(LOOKUP(E371,CODIGOS!A:A,CODIGOS!B:B)," ")</f>
        <v>0</v>
      </c>
      <c r="G371" s="9"/>
      <c r="H371" s="42">
        <v>25</v>
      </c>
      <c r="I371" s="34" t="s">
        <v>11</v>
      </c>
      <c r="J371" s="9"/>
    </row>
    <row r="372" spans="1:10">
      <c r="A372" s="39">
        <v>371</v>
      </c>
      <c r="B372" s="33">
        <v>45173</v>
      </c>
      <c r="C372" s="9">
        <v>2523</v>
      </c>
      <c r="D372" s="9" t="s">
        <v>364</v>
      </c>
      <c r="E372" s="34">
        <v>55</v>
      </c>
      <c r="F372" s="35">
        <f>IFERROR(LOOKUP(E372,CODIGOS!A:A,CODIGOS!B:B)," ")</f>
        <v>0</v>
      </c>
      <c r="G372" s="9"/>
      <c r="H372" s="36">
        <v>25</v>
      </c>
      <c r="I372" s="34" t="s">
        <v>11</v>
      </c>
      <c r="J372" s="9"/>
    </row>
    <row r="373" spans="1:10">
      <c r="A373" s="39">
        <v>372</v>
      </c>
      <c r="B373" s="33">
        <v>45173</v>
      </c>
      <c r="C373" s="9">
        <v>1901</v>
      </c>
      <c r="D373" s="9" t="s">
        <v>264</v>
      </c>
      <c r="E373" s="34">
        <v>55</v>
      </c>
      <c r="F373" s="35">
        <f>IFERROR(LOOKUP(E373,CODIGOS!A:A,CODIGOS!B:B)," ")</f>
        <v>0</v>
      </c>
      <c r="G373" s="9"/>
      <c r="H373" s="36">
        <v>25</v>
      </c>
      <c r="I373" s="34" t="s">
        <v>115</v>
      </c>
      <c r="J373" s="9"/>
    </row>
    <row r="374" spans="1:10">
      <c r="A374" s="39">
        <v>373</v>
      </c>
      <c r="B374" s="33">
        <v>45173</v>
      </c>
      <c r="C374" s="9">
        <v>2734</v>
      </c>
      <c r="D374" s="9" t="s">
        <v>365</v>
      </c>
      <c r="E374" s="34">
        <v>55</v>
      </c>
      <c r="F374" s="35">
        <f>IFERROR(LOOKUP(E374,CODIGOS!A:A,CODIGOS!B:B)," ")</f>
        <v>0</v>
      </c>
      <c r="G374" s="9"/>
      <c r="H374" s="36">
        <v>25</v>
      </c>
      <c r="I374" s="34" t="s">
        <v>11</v>
      </c>
      <c r="J374" s="9"/>
    </row>
    <row r="375" spans="1:10">
      <c r="A375" s="39">
        <v>374</v>
      </c>
      <c r="B375" s="33">
        <v>45173</v>
      </c>
      <c r="C375" s="9">
        <v>2736</v>
      </c>
      <c r="D375" s="9" t="s">
        <v>366</v>
      </c>
      <c r="E375" s="34">
        <v>55</v>
      </c>
      <c r="F375" s="35">
        <f>IFERROR(LOOKUP(E375,CODIGOS!A:A,CODIGOS!B:B)," ")</f>
        <v>0</v>
      </c>
      <c r="G375" s="9"/>
      <c r="H375" s="36">
        <v>25</v>
      </c>
      <c r="I375" s="34" t="s">
        <v>11</v>
      </c>
      <c r="J375" s="9"/>
    </row>
    <row r="376" spans="1:10">
      <c r="A376" s="39">
        <v>375</v>
      </c>
      <c r="B376" s="33">
        <v>45174</v>
      </c>
      <c r="C376" s="40">
        <v>2527</v>
      </c>
      <c r="D376" s="9" t="s">
        <v>367</v>
      </c>
      <c r="E376" s="34">
        <v>55</v>
      </c>
      <c r="F376" s="35">
        <f>IFERROR(LOOKUP(E376,CODIGOS!A:A,CODIGOS!B:B)," ")</f>
        <v>0</v>
      </c>
      <c r="G376" s="9"/>
      <c r="H376" s="36">
        <v>25</v>
      </c>
      <c r="I376" s="34" t="s">
        <v>11</v>
      </c>
      <c r="J376" s="9"/>
    </row>
    <row r="377" spans="1:10">
      <c r="A377" s="39">
        <v>376</v>
      </c>
      <c r="B377" s="33">
        <v>45174</v>
      </c>
      <c r="C377" s="40">
        <v>2511</v>
      </c>
      <c r="D377" s="9" t="s">
        <v>368</v>
      </c>
      <c r="E377" s="34">
        <v>55</v>
      </c>
      <c r="F377" s="35">
        <f>IFERROR(LOOKUP(E377,CODIGOS!A:A,CODIGOS!B:B)," ")</f>
        <v>0</v>
      </c>
      <c r="G377" s="9"/>
      <c r="H377" s="36">
        <v>25</v>
      </c>
      <c r="I377" s="34" t="s">
        <v>115</v>
      </c>
      <c r="J377" s="9"/>
    </row>
    <row r="378" spans="1:10">
      <c r="A378" s="39">
        <v>377</v>
      </c>
      <c r="B378" s="33">
        <v>45174</v>
      </c>
      <c r="C378" s="40">
        <v>2735</v>
      </c>
      <c r="D378" s="9" t="s">
        <v>369</v>
      </c>
      <c r="E378" s="34">
        <v>55</v>
      </c>
      <c r="F378" s="35">
        <f>IFERROR(LOOKUP(E378,CODIGOS!A:A,CODIGOS!B:B)," ")</f>
        <v>0</v>
      </c>
      <c r="G378" s="9"/>
      <c r="H378" s="36">
        <v>25</v>
      </c>
      <c r="I378" s="34"/>
      <c r="J378" s="9"/>
    </row>
    <row r="379" spans="1:10">
      <c r="A379" s="39">
        <v>378</v>
      </c>
      <c r="B379" s="33">
        <v>45174</v>
      </c>
      <c r="C379" s="40">
        <v>2349</v>
      </c>
      <c r="D379" s="9" t="s">
        <v>370</v>
      </c>
      <c r="E379" s="34">
        <v>55</v>
      </c>
      <c r="F379" s="35">
        <f>IFERROR(LOOKUP(E379,CODIGOS!A:A,CODIGOS!B:B)," ")</f>
        <v>0</v>
      </c>
      <c r="G379" s="9"/>
      <c r="H379" s="36">
        <v>25</v>
      </c>
      <c r="I379" s="34" t="s">
        <v>371</v>
      </c>
      <c r="J379" s="9"/>
    </row>
    <row r="380" spans="1:10">
      <c r="A380" s="39">
        <v>379</v>
      </c>
      <c r="B380" s="33">
        <v>45174</v>
      </c>
      <c r="C380" s="40">
        <v>2567</v>
      </c>
      <c r="D380" s="9" t="s">
        <v>372</v>
      </c>
      <c r="E380" s="34">
        <v>55</v>
      </c>
      <c r="F380" s="35">
        <f>IFERROR(LOOKUP(E380,CODIGOS!A:A,CODIGOS!B:B)," ")</f>
        <v>0</v>
      </c>
      <c r="G380" s="9"/>
      <c r="H380" s="36">
        <v>25</v>
      </c>
      <c r="I380" s="34" t="s">
        <v>115</v>
      </c>
      <c r="J380" s="9"/>
    </row>
    <row r="381" spans="1:10">
      <c r="A381" s="39">
        <v>380</v>
      </c>
      <c r="B381" s="33">
        <v>45174</v>
      </c>
      <c r="C381" s="9">
        <v>2568</v>
      </c>
      <c r="D381" s="9" t="s">
        <v>373</v>
      </c>
      <c r="E381" s="34">
        <v>55</v>
      </c>
      <c r="F381" s="35">
        <f>IFERROR(LOOKUP(E381,CODIGOS!A:A,CODIGOS!B:B)," ")</f>
        <v>0</v>
      </c>
      <c r="G381" s="9"/>
      <c r="H381" s="36">
        <v>25</v>
      </c>
      <c r="I381" s="34" t="s">
        <v>115</v>
      </c>
      <c r="J381" s="9"/>
    </row>
    <row r="382" spans="1:10">
      <c r="A382" s="39">
        <v>381</v>
      </c>
      <c r="B382" s="33">
        <v>45174</v>
      </c>
      <c r="C382" s="9">
        <v>2738</v>
      </c>
      <c r="D382" s="9" t="s">
        <v>374</v>
      </c>
      <c r="E382" s="34">
        <v>55</v>
      </c>
      <c r="F382" s="35">
        <f>IFERROR(LOOKUP(E382,CODIGOS!A:A,CODIGOS!B:B)," ")</f>
        <v>0</v>
      </c>
      <c r="G382" s="9"/>
      <c r="H382" s="36">
        <v>25</v>
      </c>
      <c r="I382" s="34" t="s">
        <v>115</v>
      </c>
      <c r="J382" s="9"/>
    </row>
    <row r="383" spans="1:10">
      <c r="A383" s="39">
        <v>382</v>
      </c>
      <c r="B383" s="33">
        <v>45174</v>
      </c>
      <c r="C383" s="9">
        <v>2497</v>
      </c>
      <c r="D383" s="9" t="s">
        <v>375</v>
      </c>
      <c r="E383" s="34">
        <v>55</v>
      </c>
      <c r="F383" s="35">
        <f>IFERROR(LOOKUP(E383,CODIGOS!A:A,CODIGOS!B:B)," ")</f>
        <v>0</v>
      </c>
      <c r="G383" s="9"/>
      <c r="H383" s="36">
        <v>25</v>
      </c>
      <c r="I383" s="34" t="s">
        <v>115</v>
      </c>
      <c r="J383" s="9"/>
    </row>
    <row r="384" spans="1:10">
      <c r="A384" s="39">
        <v>383</v>
      </c>
      <c r="B384" s="33">
        <v>45174</v>
      </c>
      <c r="C384" s="9">
        <v>2489</v>
      </c>
      <c r="D384" s="9" t="s">
        <v>376</v>
      </c>
      <c r="E384" s="34">
        <v>55</v>
      </c>
      <c r="F384" s="35">
        <f>IFERROR(LOOKUP(E384,CODIGOS!A:A,CODIGOS!B:B)," ")</f>
        <v>0</v>
      </c>
      <c r="G384" s="9"/>
      <c r="H384" s="36">
        <v>25</v>
      </c>
      <c r="I384" s="34" t="s">
        <v>115</v>
      </c>
      <c r="J384" s="9"/>
    </row>
    <row r="385" spans="1:10">
      <c r="A385" s="39">
        <v>384</v>
      </c>
      <c r="B385" s="33">
        <v>45174</v>
      </c>
      <c r="C385" s="9">
        <v>1815</v>
      </c>
      <c r="D385" s="9" t="s">
        <v>377</v>
      </c>
      <c r="E385" s="34">
        <v>55</v>
      </c>
      <c r="F385" s="35">
        <f>IFERROR(LOOKUP(E385,CODIGOS!A:A,CODIGOS!B:B)," ")</f>
        <v>0</v>
      </c>
      <c r="G385" s="9"/>
      <c r="H385" s="36">
        <v>25</v>
      </c>
      <c r="I385" s="34" t="s">
        <v>115</v>
      </c>
      <c r="J385" s="9"/>
    </row>
    <row r="386" spans="1:10">
      <c r="A386" s="39">
        <v>385</v>
      </c>
      <c r="B386" s="33">
        <v>45174</v>
      </c>
      <c r="C386" s="9">
        <v>2741</v>
      </c>
      <c r="D386" s="9" t="s">
        <v>378</v>
      </c>
      <c r="E386" s="34">
        <v>55</v>
      </c>
      <c r="F386" s="35">
        <f>IFERROR(LOOKUP(E386,CODIGOS!A:A,CODIGOS!B:B)," ")</f>
        <v>0</v>
      </c>
      <c r="G386" s="9"/>
      <c r="H386" s="36">
        <v>25</v>
      </c>
      <c r="I386" s="34" t="s">
        <v>115</v>
      </c>
      <c r="J386" s="9"/>
    </row>
    <row r="387" spans="1:10">
      <c r="A387" s="39">
        <v>386</v>
      </c>
      <c r="B387" s="33">
        <v>45174</v>
      </c>
      <c r="C387" s="9">
        <v>2189</v>
      </c>
      <c r="D387" s="9" t="s">
        <v>379</v>
      </c>
      <c r="E387" s="34">
        <v>55</v>
      </c>
      <c r="F387" s="35">
        <f>IFERROR(LOOKUP(E387,CODIGOS!A:A,CODIGOS!B:B)," ")</f>
        <v>0</v>
      </c>
      <c r="G387" s="9"/>
      <c r="H387" s="36">
        <v>25</v>
      </c>
      <c r="I387" s="34" t="s">
        <v>282</v>
      </c>
      <c r="J387" s="9"/>
    </row>
    <row r="388" spans="1:10">
      <c r="A388" s="39">
        <v>387</v>
      </c>
      <c r="B388" s="33">
        <v>45174</v>
      </c>
      <c r="C388" s="9">
        <v>2625</v>
      </c>
      <c r="D388" s="9" t="s">
        <v>380</v>
      </c>
      <c r="E388" s="34">
        <v>55</v>
      </c>
      <c r="F388" s="35">
        <f>IFERROR(LOOKUP(E388,CODIGOS!A:A,CODIGOS!B:B)," ")</f>
        <v>0</v>
      </c>
      <c r="G388" s="9"/>
      <c r="H388" s="36">
        <v>25</v>
      </c>
      <c r="I388" s="34" t="s">
        <v>115</v>
      </c>
      <c r="J388" s="9"/>
    </row>
    <row r="389" spans="1:10">
      <c r="A389" s="39">
        <v>388</v>
      </c>
      <c r="B389" s="33">
        <v>45174</v>
      </c>
      <c r="C389" s="9">
        <v>2315</v>
      </c>
      <c r="D389" s="9" t="s">
        <v>381</v>
      </c>
      <c r="E389" s="34">
        <v>55</v>
      </c>
      <c r="F389" s="35">
        <f>IFERROR(LOOKUP(E389,CODIGOS!A:A,CODIGOS!B:B)," ")</f>
        <v>0</v>
      </c>
      <c r="G389" s="9"/>
      <c r="H389" s="36">
        <v>25</v>
      </c>
      <c r="I389" s="34" t="s">
        <v>115</v>
      </c>
      <c r="J389" s="9"/>
    </row>
    <row r="390" spans="1:10">
      <c r="A390" s="39">
        <v>389</v>
      </c>
      <c r="B390" s="33">
        <v>45174</v>
      </c>
      <c r="C390" s="9">
        <v>2314</v>
      </c>
      <c r="D390" s="9" t="s">
        <v>382</v>
      </c>
      <c r="E390" s="34">
        <v>55</v>
      </c>
      <c r="F390" s="35">
        <f>IFERROR(LOOKUP(E390,CODIGOS!A:A,CODIGOS!B:B)," ")</f>
        <v>0</v>
      </c>
      <c r="G390" s="9"/>
      <c r="H390" s="36">
        <v>25</v>
      </c>
      <c r="I390" s="34" t="s">
        <v>115</v>
      </c>
      <c r="J390" s="9"/>
    </row>
    <row r="391" spans="1:10">
      <c r="A391" s="39">
        <v>390</v>
      </c>
      <c r="B391" s="33">
        <v>45174</v>
      </c>
      <c r="C391" s="9">
        <v>2620</v>
      </c>
      <c r="D391" s="9" t="s">
        <v>383</v>
      </c>
      <c r="E391" s="34">
        <v>55</v>
      </c>
      <c r="F391" s="35">
        <f>IFERROR(LOOKUP(E391,CODIGOS!A:A,CODIGOS!B:B)," ")</f>
        <v>0</v>
      </c>
      <c r="G391" s="9"/>
      <c r="H391" s="36">
        <v>25</v>
      </c>
      <c r="I391" s="34" t="s">
        <v>115</v>
      </c>
      <c r="J391" s="9"/>
    </row>
    <row r="392" spans="1:10">
      <c r="A392" s="39">
        <v>391</v>
      </c>
      <c r="B392" s="33">
        <v>45174</v>
      </c>
      <c r="C392" s="9">
        <v>2740</v>
      </c>
      <c r="D392" s="9" t="s">
        <v>384</v>
      </c>
      <c r="E392" s="34">
        <v>55</v>
      </c>
      <c r="F392" s="35">
        <f>IFERROR(LOOKUP(E392,CODIGOS!A:A,CODIGOS!B:B)," ")</f>
        <v>0</v>
      </c>
      <c r="G392" s="9"/>
      <c r="H392" s="42">
        <v>25</v>
      </c>
      <c r="I392" s="34" t="s">
        <v>385</v>
      </c>
      <c r="J392" s="9"/>
    </row>
    <row r="393" spans="1:10">
      <c r="A393" s="39">
        <v>392</v>
      </c>
      <c r="B393" s="33">
        <v>45174</v>
      </c>
      <c r="C393" s="9">
        <v>2553</v>
      </c>
      <c r="D393" s="9" t="s">
        <v>386</v>
      </c>
      <c r="E393" s="34">
        <v>55</v>
      </c>
      <c r="F393" s="35">
        <f>IFERROR(LOOKUP(E393,CODIGOS!A:A,CODIGOS!B:B)," ")</f>
        <v>0</v>
      </c>
      <c r="G393" s="9"/>
      <c r="H393" s="42">
        <v>25</v>
      </c>
      <c r="I393" s="34" t="s">
        <v>115</v>
      </c>
      <c r="J393" s="9"/>
    </row>
    <row r="394" spans="1:10">
      <c r="A394" s="39">
        <v>393</v>
      </c>
      <c r="B394" s="33">
        <v>45174</v>
      </c>
      <c r="C394" s="9">
        <v>2739</v>
      </c>
      <c r="D394" s="9" t="s">
        <v>387</v>
      </c>
      <c r="E394" s="34">
        <v>55</v>
      </c>
      <c r="F394" s="35">
        <f>IFERROR(LOOKUP(E394,CODIGOS!A:A,CODIGOS!B:B)," ")</f>
        <v>0</v>
      </c>
      <c r="G394" s="9"/>
      <c r="H394" s="36">
        <v>25</v>
      </c>
      <c r="I394" s="34" t="s">
        <v>115</v>
      </c>
      <c r="J394" s="9"/>
    </row>
    <row r="395" spans="1:10">
      <c r="A395" s="39">
        <v>394</v>
      </c>
      <c r="B395" s="33">
        <v>45174</v>
      </c>
      <c r="C395" s="9">
        <v>1982</v>
      </c>
      <c r="D395" s="9" t="s">
        <v>388</v>
      </c>
      <c r="E395" s="34">
        <v>55</v>
      </c>
      <c r="F395" s="35">
        <f>IFERROR(LOOKUP(E395,CODIGOS!A:A,CODIGOS!B:B)," ")</f>
        <v>0</v>
      </c>
      <c r="G395" s="9"/>
      <c r="H395" s="36">
        <v>25</v>
      </c>
      <c r="I395" s="34" t="s">
        <v>115</v>
      </c>
      <c r="J395" s="9"/>
    </row>
    <row r="396" spans="1:10">
      <c r="A396" s="39">
        <v>395</v>
      </c>
      <c r="B396" s="33">
        <v>45174</v>
      </c>
      <c r="C396" s="9">
        <v>2737</v>
      </c>
      <c r="D396" s="9" t="s">
        <v>389</v>
      </c>
      <c r="E396" s="34">
        <v>55</v>
      </c>
      <c r="F396" s="35">
        <f>IFERROR(LOOKUP(E396,CODIGOS!A:A,CODIGOS!B:B)," ")</f>
        <v>0</v>
      </c>
      <c r="G396" s="9"/>
      <c r="H396" s="36">
        <v>25</v>
      </c>
      <c r="I396" s="34" t="s">
        <v>115</v>
      </c>
      <c r="J396" s="9"/>
    </row>
    <row r="397" spans="1:10">
      <c r="A397" s="39">
        <v>396</v>
      </c>
      <c r="B397" s="33">
        <v>45175</v>
      </c>
      <c r="C397" s="40">
        <v>2732</v>
      </c>
      <c r="D397" s="9" t="s">
        <v>186</v>
      </c>
      <c r="E397" s="34">
        <v>55</v>
      </c>
      <c r="F397" s="35">
        <f>IFERROR(LOOKUP(E397,CODIGOS!A:A,CODIGOS!B:B)," ")</f>
        <v>0</v>
      </c>
      <c r="G397" s="9"/>
      <c r="H397" s="36">
        <v>25</v>
      </c>
      <c r="I397" s="34" t="s">
        <v>11</v>
      </c>
      <c r="J397" s="9"/>
    </row>
    <row r="398" spans="1:10">
      <c r="A398" s="39">
        <v>397</v>
      </c>
      <c r="B398" s="33">
        <v>45175</v>
      </c>
      <c r="C398" s="40">
        <v>2134</v>
      </c>
      <c r="D398" s="9" t="s">
        <v>390</v>
      </c>
      <c r="E398" s="34">
        <v>55</v>
      </c>
      <c r="F398" s="35">
        <f>IFERROR(LOOKUP(E398,CODIGOS!A:A,CODIGOS!B:B)," ")</f>
        <v>0</v>
      </c>
      <c r="G398" s="9"/>
      <c r="H398" s="36">
        <v>25</v>
      </c>
      <c r="I398" s="34" t="s">
        <v>11</v>
      </c>
      <c r="J398" s="9"/>
    </row>
    <row r="399" spans="1:10">
      <c r="A399" s="39">
        <v>398</v>
      </c>
      <c r="B399" s="33">
        <v>45175</v>
      </c>
      <c r="C399" s="40">
        <v>2505</v>
      </c>
      <c r="D399" s="9" t="s">
        <v>391</v>
      </c>
      <c r="E399" s="34">
        <v>55</v>
      </c>
      <c r="F399" s="35">
        <f>IFERROR(LOOKUP(E399,CODIGOS!A:A,CODIGOS!B:B)," ")</f>
        <v>0</v>
      </c>
      <c r="G399" s="9"/>
      <c r="H399" s="36">
        <v>25</v>
      </c>
      <c r="I399" s="34" t="s">
        <v>11</v>
      </c>
      <c r="J399" s="9"/>
    </row>
    <row r="400" spans="1:10">
      <c r="A400" s="39">
        <v>399</v>
      </c>
      <c r="B400" s="33">
        <v>45175</v>
      </c>
      <c r="C400" s="40">
        <v>2485</v>
      </c>
      <c r="D400" s="9" t="s">
        <v>392</v>
      </c>
      <c r="E400" s="34">
        <v>55</v>
      </c>
      <c r="F400" s="35">
        <f>IFERROR(LOOKUP(E400,CODIGOS!A:A,CODIGOS!B:B)," ")</f>
        <v>0</v>
      </c>
      <c r="G400" s="9"/>
      <c r="H400" s="36">
        <v>25</v>
      </c>
      <c r="I400" s="34" t="s">
        <v>11</v>
      </c>
      <c r="J400" s="9"/>
    </row>
    <row r="401" spans="1:10">
      <c r="A401" s="39">
        <v>400</v>
      </c>
      <c r="B401" s="33">
        <v>45175</v>
      </c>
      <c r="C401" s="40">
        <v>2627</v>
      </c>
      <c r="D401" s="9" t="s">
        <v>393</v>
      </c>
      <c r="E401" s="34">
        <v>55</v>
      </c>
      <c r="F401" s="35">
        <f>IFERROR(LOOKUP(E401,CODIGOS!A:A,CODIGOS!B:B)," ")</f>
        <v>0</v>
      </c>
      <c r="G401" s="9"/>
      <c r="H401" s="36">
        <v>25</v>
      </c>
      <c r="I401" s="34" t="s">
        <v>11</v>
      </c>
      <c r="J401" s="9"/>
    </row>
    <row r="402" spans="1:10">
      <c r="A402" s="39">
        <v>401</v>
      </c>
      <c r="B402" s="33">
        <v>45175</v>
      </c>
      <c r="C402" s="40">
        <v>2472</v>
      </c>
      <c r="D402" s="9" t="s">
        <v>394</v>
      </c>
      <c r="E402" s="34">
        <v>55</v>
      </c>
      <c r="F402" s="35">
        <f>IFERROR(LOOKUP(E402,CODIGOS!A:A,CODIGOS!B:B)," ")</f>
        <v>0</v>
      </c>
      <c r="G402" s="9"/>
      <c r="H402" s="36">
        <v>25</v>
      </c>
      <c r="I402" s="34" t="s">
        <v>11</v>
      </c>
      <c r="J402" s="9"/>
    </row>
    <row r="403" spans="1:10">
      <c r="A403" s="39">
        <v>402</v>
      </c>
      <c r="B403" s="33">
        <v>45175</v>
      </c>
      <c r="C403" s="9">
        <v>2473</v>
      </c>
      <c r="D403" s="9" t="s">
        <v>395</v>
      </c>
      <c r="E403" s="34">
        <v>55</v>
      </c>
      <c r="F403" s="35">
        <f>IFERROR(LOOKUP(E403,CODIGOS!A:A,CODIGOS!B:B)," ")</f>
        <v>0</v>
      </c>
      <c r="G403" s="9"/>
      <c r="H403" s="36">
        <v>25</v>
      </c>
      <c r="I403" s="34" t="s">
        <v>11</v>
      </c>
      <c r="J403" s="9"/>
    </row>
    <row r="404" spans="1:10">
      <c r="A404" s="39">
        <v>403</v>
      </c>
      <c r="B404" s="33">
        <v>45175</v>
      </c>
      <c r="C404" s="9">
        <v>2609</v>
      </c>
      <c r="D404" s="9" t="s">
        <v>396</v>
      </c>
      <c r="E404" s="34">
        <v>55</v>
      </c>
      <c r="F404" s="35">
        <f>IFERROR(LOOKUP(E404,CODIGOS!A:A,CODIGOS!B:B)," ")</f>
        <v>0</v>
      </c>
      <c r="G404" s="9"/>
      <c r="H404" s="36">
        <v>25</v>
      </c>
      <c r="I404" s="34" t="s">
        <v>11</v>
      </c>
      <c r="J404" s="9"/>
    </row>
    <row r="405" spans="1:10">
      <c r="A405" s="39">
        <v>404</v>
      </c>
      <c r="B405" s="33">
        <v>45175</v>
      </c>
      <c r="C405" s="9">
        <v>2617</v>
      </c>
      <c r="D405" s="9" t="s">
        <v>397</v>
      </c>
      <c r="E405" s="34">
        <v>55</v>
      </c>
      <c r="F405" s="35">
        <f>IFERROR(LOOKUP(E405,CODIGOS!A:A,CODIGOS!B:B)," ")</f>
        <v>0</v>
      </c>
      <c r="G405" s="9"/>
      <c r="H405" s="36">
        <v>25</v>
      </c>
      <c r="I405" s="34" t="s">
        <v>11</v>
      </c>
      <c r="J405" s="9"/>
    </row>
    <row r="406" spans="1:10">
      <c r="A406" s="39">
        <v>405</v>
      </c>
      <c r="B406" s="33">
        <v>45175</v>
      </c>
      <c r="C406" s="9">
        <v>2131</v>
      </c>
      <c r="D406" s="9" t="s">
        <v>30</v>
      </c>
      <c r="E406" s="34">
        <v>55</v>
      </c>
      <c r="F406" s="35">
        <f>IFERROR(LOOKUP(E406,CODIGOS!A:A,CODIGOS!B:B)," ")</f>
        <v>0</v>
      </c>
      <c r="G406" s="9"/>
      <c r="H406" s="36">
        <v>25</v>
      </c>
      <c r="I406" s="34" t="s">
        <v>11</v>
      </c>
      <c r="J406" s="9"/>
    </row>
    <row r="407" spans="1:10">
      <c r="A407" s="39">
        <v>406</v>
      </c>
      <c r="B407" s="33">
        <v>45175</v>
      </c>
      <c r="C407" s="9">
        <v>2087</v>
      </c>
      <c r="D407" s="9" t="s">
        <v>398</v>
      </c>
      <c r="E407" s="34">
        <v>55</v>
      </c>
      <c r="F407" s="35">
        <f>IFERROR(LOOKUP(E407,CODIGOS!A:A,CODIGOS!B:B)," ")</f>
        <v>0</v>
      </c>
      <c r="G407" s="9"/>
      <c r="H407" s="36">
        <v>25</v>
      </c>
      <c r="I407" s="34" t="s">
        <v>11</v>
      </c>
      <c r="J407" s="9"/>
    </row>
    <row r="408" spans="1:10">
      <c r="A408" s="39">
        <v>407</v>
      </c>
      <c r="B408" s="33">
        <v>45176</v>
      </c>
      <c r="C408" s="40">
        <v>2613</v>
      </c>
      <c r="D408" s="9" t="s">
        <v>399</v>
      </c>
      <c r="E408" s="34">
        <v>55</v>
      </c>
      <c r="F408" s="35">
        <f>IFERROR(LOOKUP(E408,CODIGOS!A:A,CODIGOS!B:B)," ")</f>
        <v>0</v>
      </c>
      <c r="G408" s="9"/>
      <c r="H408" s="36">
        <v>25</v>
      </c>
      <c r="I408" s="34" t="s">
        <v>72</v>
      </c>
      <c r="J408" s="9"/>
    </row>
    <row r="409" spans="1:10">
      <c r="A409" s="39">
        <v>408</v>
      </c>
      <c r="B409" s="33">
        <v>45176</v>
      </c>
      <c r="C409" s="40">
        <v>2578</v>
      </c>
      <c r="D409" s="9" t="s">
        <v>400</v>
      </c>
      <c r="E409" s="34">
        <v>55</v>
      </c>
      <c r="F409" s="35">
        <f>IFERROR(LOOKUP(E409,CODIGOS!A:A,CODIGOS!B:B)," ")</f>
        <v>0</v>
      </c>
      <c r="G409" s="9"/>
      <c r="H409" s="36">
        <v>25</v>
      </c>
      <c r="I409" s="34" t="s">
        <v>72</v>
      </c>
      <c r="J409" s="9"/>
    </row>
    <row r="410" spans="1:10">
      <c r="A410" s="39">
        <v>409</v>
      </c>
      <c r="B410" s="33">
        <v>45176</v>
      </c>
      <c r="C410" s="40">
        <v>2353</v>
      </c>
      <c r="D410" s="9" t="s">
        <v>401</v>
      </c>
      <c r="E410" s="34">
        <v>55</v>
      </c>
      <c r="F410" s="35">
        <f>IFERROR(LOOKUP(E410,CODIGOS!A:A,CODIGOS!B:B)," ")</f>
        <v>0</v>
      </c>
      <c r="G410" s="9"/>
      <c r="H410" s="36">
        <v>25</v>
      </c>
      <c r="I410" s="34" t="s">
        <v>72</v>
      </c>
      <c r="J410" s="9"/>
    </row>
    <row r="411" spans="1:10">
      <c r="A411" s="39">
        <v>410</v>
      </c>
      <c r="B411" s="33">
        <v>45176</v>
      </c>
      <c r="C411" s="40">
        <v>2508</v>
      </c>
      <c r="D411" s="9" t="s">
        <v>402</v>
      </c>
      <c r="E411" s="34">
        <v>55</v>
      </c>
      <c r="F411" s="35">
        <f>IFERROR(LOOKUP(E411,CODIGOS!A:A,CODIGOS!B:B)," ")</f>
        <v>0</v>
      </c>
      <c r="G411" s="9"/>
      <c r="H411" s="36">
        <v>25</v>
      </c>
      <c r="I411" s="34" t="s">
        <v>72</v>
      </c>
      <c r="J411" s="9"/>
    </row>
    <row r="412" spans="1:10">
      <c r="A412" s="39">
        <v>411</v>
      </c>
      <c r="B412" s="33">
        <v>45176</v>
      </c>
      <c r="C412" s="40">
        <v>2259</v>
      </c>
      <c r="D412" s="9" t="s">
        <v>403</v>
      </c>
      <c r="E412" s="34">
        <v>55</v>
      </c>
      <c r="F412" s="35">
        <f>IFERROR(LOOKUP(E412,CODIGOS!A:A,CODIGOS!B:B)," ")</f>
        <v>0</v>
      </c>
      <c r="G412" s="9"/>
      <c r="H412" s="36">
        <v>25</v>
      </c>
      <c r="I412" s="34" t="s">
        <v>72</v>
      </c>
      <c r="J412" s="9"/>
    </row>
    <row r="413" spans="1:10">
      <c r="A413" s="39">
        <v>412</v>
      </c>
      <c r="B413" s="33">
        <v>45176</v>
      </c>
      <c r="C413" s="9">
        <v>2744</v>
      </c>
      <c r="D413" s="9" t="s">
        <v>404</v>
      </c>
      <c r="E413" s="34">
        <v>55</v>
      </c>
      <c r="F413" s="35">
        <f>IFERROR(LOOKUP(E413,CODIGOS!A:A,CODIGOS!B:B)," ")</f>
        <v>0</v>
      </c>
      <c r="G413" s="9"/>
      <c r="H413" s="36">
        <v>25</v>
      </c>
      <c r="I413" s="34" t="s">
        <v>72</v>
      </c>
      <c r="J413" s="9"/>
    </row>
    <row r="414" spans="1:10">
      <c r="A414" s="39">
        <v>413</v>
      </c>
      <c r="B414" s="33">
        <v>45176</v>
      </c>
      <c r="C414" s="9">
        <v>2315</v>
      </c>
      <c r="D414" s="9" t="s">
        <v>405</v>
      </c>
      <c r="E414" s="34">
        <v>55</v>
      </c>
      <c r="F414" s="35">
        <f>IFERROR(LOOKUP(E414,CODIGOS!A:A,CODIGOS!B:B)," ")</f>
        <v>0</v>
      </c>
      <c r="G414" s="9"/>
      <c r="H414" s="36">
        <v>25</v>
      </c>
      <c r="I414" s="34" t="s">
        <v>72</v>
      </c>
      <c r="J414" s="9"/>
    </row>
    <row r="415" spans="1:10">
      <c r="A415" s="39">
        <v>414</v>
      </c>
      <c r="B415" s="33">
        <v>45176</v>
      </c>
      <c r="C415" s="9">
        <v>2351</v>
      </c>
      <c r="D415" s="9" t="s">
        <v>406</v>
      </c>
      <c r="E415" s="34">
        <v>55</v>
      </c>
      <c r="F415" s="35">
        <f>IFERROR(LOOKUP(E415,CODIGOS!A:A,CODIGOS!B:B)," ")</f>
        <v>0</v>
      </c>
      <c r="G415" s="9"/>
      <c r="H415" s="36">
        <v>25</v>
      </c>
      <c r="I415" s="34" t="s">
        <v>72</v>
      </c>
      <c r="J415" s="9"/>
    </row>
    <row r="416" spans="1:10">
      <c r="A416" s="39">
        <v>415</v>
      </c>
      <c r="B416" s="33">
        <v>45176</v>
      </c>
      <c r="C416" s="9">
        <v>2490</v>
      </c>
      <c r="D416" s="9" t="s">
        <v>407</v>
      </c>
      <c r="E416" s="34">
        <v>55</v>
      </c>
      <c r="F416" s="35">
        <f>IFERROR(LOOKUP(E416,CODIGOS!A:A,CODIGOS!B:B)," ")</f>
        <v>0</v>
      </c>
      <c r="G416" s="9"/>
      <c r="H416" s="36">
        <v>25</v>
      </c>
      <c r="I416" s="34" t="s">
        <v>72</v>
      </c>
      <c r="J416" s="9"/>
    </row>
    <row r="417" spans="1:10">
      <c r="A417" s="39">
        <v>416</v>
      </c>
      <c r="B417" s="33">
        <v>45176</v>
      </c>
      <c r="C417" s="9">
        <v>1982</v>
      </c>
      <c r="D417" s="9" t="s">
        <v>408</v>
      </c>
      <c r="E417" s="34">
        <v>55</v>
      </c>
      <c r="F417" s="35">
        <f>IFERROR(LOOKUP(E417,CODIGOS!A:A,CODIGOS!B:B)," ")</f>
        <v>0</v>
      </c>
      <c r="G417" s="9"/>
      <c r="H417" s="36">
        <v>25</v>
      </c>
      <c r="I417" s="34" t="s">
        <v>72</v>
      </c>
      <c r="J417" s="9"/>
    </row>
    <row r="418" spans="1:10">
      <c r="A418" s="39">
        <v>417</v>
      </c>
      <c r="B418" s="33">
        <v>45176</v>
      </c>
      <c r="C418" s="9">
        <v>2537</v>
      </c>
      <c r="D418" s="9" t="s">
        <v>409</v>
      </c>
      <c r="E418" s="34">
        <v>55</v>
      </c>
      <c r="F418" s="35">
        <f>IFERROR(LOOKUP(E418,CODIGOS!A:A,CODIGOS!B:B)," ")</f>
        <v>0</v>
      </c>
      <c r="G418" s="9"/>
      <c r="H418" s="36">
        <v>25</v>
      </c>
      <c r="I418" s="34" t="s">
        <v>72</v>
      </c>
      <c r="J418" s="9"/>
    </row>
    <row r="419" spans="1:10">
      <c r="A419" s="39">
        <v>418</v>
      </c>
      <c r="B419" s="33">
        <v>45176</v>
      </c>
      <c r="C419" s="9">
        <v>2576</v>
      </c>
      <c r="D419" s="9" t="s">
        <v>410</v>
      </c>
      <c r="E419" s="34">
        <v>55</v>
      </c>
      <c r="F419" s="35">
        <f>IFERROR(LOOKUP(E419,CODIGOS!A:A,CODIGOS!B:B)," ")</f>
        <v>0</v>
      </c>
      <c r="G419" s="9"/>
      <c r="H419" s="36">
        <v>25</v>
      </c>
      <c r="I419" s="34" t="s">
        <v>72</v>
      </c>
      <c r="J419" s="9"/>
    </row>
    <row r="420" spans="1:10">
      <c r="A420" s="39">
        <v>419</v>
      </c>
      <c r="B420" s="33">
        <v>45176</v>
      </c>
      <c r="C420" s="9">
        <v>2745</v>
      </c>
      <c r="D420" s="9" t="s">
        <v>411</v>
      </c>
      <c r="E420" s="34">
        <v>55</v>
      </c>
      <c r="F420" s="35">
        <f>IFERROR(LOOKUP(E420,CODIGOS!A:A,CODIGOS!B:B)," ")</f>
        <v>0</v>
      </c>
      <c r="G420" s="9"/>
      <c r="H420" s="36">
        <v>25</v>
      </c>
      <c r="I420" s="34" t="s">
        <v>72</v>
      </c>
      <c r="J420" s="9"/>
    </row>
    <row r="421" spans="1:10">
      <c r="A421" s="39">
        <v>420</v>
      </c>
      <c r="B421" s="33">
        <v>45176</v>
      </c>
      <c r="C421" s="9">
        <v>2746</v>
      </c>
      <c r="D421" s="9" t="s">
        <v>412</v>
      </c>
      <c r="E421" s="34">
        <v>55</v>
      </c>
      <c r="F421" s="35">
        <f>IFERROR(LOOKUP(E421,CODIGOS!A:A,CODIGOS!B:B)," ")</f>
        <v>0</v>
      </c>
      <c r="G421" s="9"/>
      <c r="H421" s="36">
        <v>25</v>
      </c>
      <c r="I421" s="34" t="s">
        <v>72</v>
      </c>
      <c r="J421" s="9"/>
    </row>
    <row r="422" spans="1:10">
      <c r="A422" s="39">
        <v>421</v>
      </c>
      <c r="B422" s="33">
        <v>45176</v>
      </c>
      <c r="C422" s="9">
        <v>2747</v>
      </c>
      <c r="D422" s="9" t="s">
        <v>413</v>
      </c>
      <c r="E422" s="34">
        <v>55</v>
      </c>
      <c r="F422" s="35">
        <f>IFERROR(LOOKUP(E422,CODIGOS!A:A,CODIGOS!B:B)," ")</f>
        <v>0</v>
      </c>
      <c r="G422" s="9"/>
      <c r="H422" s="36">
        <v>25</v>
      </c>
      <c r="I422" s="34" t="s">
        <v>72</v>
      </c>
      <c r="J422" s="9"/>
    </row>
    <row r="423" spans="1:10">
      <c r="A423" s="39">
        <v>422</v>
      </c>
      <c r="B423" s="33">
        <v>45176</v>
      </c>
      <c r="C423" s="9">
        <v>2478</v>
      </c>
      <c r="D423" s="9" t="s">
        <v>414</v>
      </c>
      <c r="E423" s="34">
        <v>55</v>
      </c>
      <c r="F423" s="35">
        <f>IFERROR(LOOKUP(E423,CODIGOS!A:A,CODIGOS!B:B)," ")</f>
        <v>0</v>
      </c>
      <c r="G423" s="9"/>
      <c r="H423" s="36">
        <v>25</v>
      </c>
      <c r="I423" s="34" t="s">
        <v>72</v>
      </c>
      <c r="J423" s="9"/>
    </row>
    <row r="424" spans="1:10">
      <c r="A424" s="39">
        <v>423</v>
      </c>
      <c r="B424" s="33">
        <v>45176</v>
      </c>
      <c r="C424" s="9">
        <v>2748</v>
      </c>
      <c r="D424" s="9" t="s">
        <v>415</v>
      </c>
      <c r="E424" s="34">
        <v>55</v>
      </c>
      <c r="F424" s="35">
        <f>IFERROR(LOOKUP(E424,CODIGOS!A:A,CODIGOS!B:B)," ")</f>
        <v>0</v>
      </c>
      <c r="G424" s="9"/>
      <c r="H424" s="42">
        <v>25</v>
      </c>
      <c r="I424" s="34" t="s">
        <v>72</v>
      </c>
      <c r="J424" s="9"/>
    </row>
    <row r="425" spans="1:10">
      <c r="A425" s="39">
        <v>424</v>
      </c>
      <c r="B425" s="33">
        <v>45176</v>
      </c>
      <c r="C425" s="9">
        <v>269</v>
      </c>
      <c r="D425" s="9" t="s">
        <v>416</v>
      </c>
      <c r="E425" s="34">
        <v>55</v>
      </c>
      <c r="F425" s="35">
        <f>IFERROR(LOOKUP(E425,CODIGOS!A:A,CODIGOS!B:B)," ")</f>
        <v>0</v>
      </c>
      <c r="G425" s="9"/>
      <c r="H425" s="42">
        <v>25</v>
      </c>
      <c r="I425" s="34" t="s">
        <v>72</v>
      </c>
      <c r="J425" s="9"/>
    </row>
    <row r="426" spans="1:10">
      <c r="A426" s="39">
        <v>425</v>
      </c>
      <c r="B426" s="33">
        <v>45176</v>
      </c>
      <c r="C426" s="9">
        <v>1391</v>
      </c>
      <c r="D426" s="9" t="s">
        <v>417</v>
      </c>
      <c r="E426" s="34">
        <v>55</v>
      </c>
      <c r="F426" s="35">
        <f>IFERROR(LOOKUP(E426,CODIGOS!A:A,CODIGOS!B:B)," ")</f>
        <v>0</v>
      </c>
      <c r="G426" s="9"/>
      <c r="H426" s="36">
        <v>25</v>
      </c>
      <c r="I426" s="34" t="s">
        <v>72</v>
      </c>
      <c r="J426" s="9"/>
    </row>
    <row r="427" spans="1:10">
      <c r="A427" s="39">
        <v>426</v>
      </c>
      <c r="B427" s="33">
        <v>45176</v>
      </c>
      <c r="C427" s="9">
        <v>2102</v>
      </c>
      <c r="D427" s="9" t="s">
        <v>418</v>
      </c>
      <c r="E427" s="34">
        <v>55</v>
      </c>
      <c r="F427" s="35">
        <f>IFERROR(LOOKUP(E427,CODIGOS!A:A,CODIGOS!B:B)," ")</f>
        <v>0</v>
      </c>
      <c r="G427" s="9"/>
      <c r="H427" s="36">
        <v>25</v>
      </c>
      <c r="I427" s="34" t="s">
        <v>72</v>
      </c>
      <c r="J427" s="9"/>
    </row>
    <row r="428" spans="1:10">
      <c r="A428" s="39">
        <v>427</v>
      </c>
      <c r="B428" s="33">
        <v>45176</v>
      </c>
      <c r="C428" s="9">
        <v>2532</v>
      </c>
      <c r="D428" s="9" t="s">
        <v>419</v>
      </c>
      <c r="E428" s="34">
        <v>55</v>
      </c>
      <c r="F428" s="35">
        <f>IFERROR(LOOKUP(E428,CODIGOS!A:A,CODIGOS!B:B)," ")</f>
        <v>0</v>
      </c>
      <c r="G428" s="9"/>
      <c r="H428" s="36">
        <v>25</v>
      </c>
      <c r="I428" s="34" t="s">
        <v>72</v>
      </c>
      <c r="J428" s="9"/>
    </row>
    <row r="429" spans="1:10">
      <c r="A429" s="39">
        <v>428</v>
      </c>
      <c r="B429" s="33">
        <v>45176</v>
      </c>
      <c r="C429" s="9">
        <v>2597</v>
      </c>
      <c r="D429" s="9" t="s">
        <v>420</v>
      </c>
      <c r="E429" s="34">
        <v>55</v>
      </c>
      <c r="F429" s="35">
        <f>IFERROR(LOOKUP(E429,CODIGOS!A:A,CODIGOS!B:B)," ")</f>
        <v>0</v>
      </c>
      <c r="G429" s="9"/>
      <c r="H429" s="36">
        <v>25</v>
      </c>
      <c r="I429" s="34" t="s">
        <v>72</v>
      </c>
      <c r="J429" s="9"/>
    </row>
    <row r="430" spans="1:10">
      <c r="A430" s="39">
        <v>429</v>
      </c>
      <c r="B430" s="33">
        <v>45180</v>
      </c>
      <c r="C430" s="40">
        <v>1744</v>
      </c>
      <c r="D430" s="9" t="s">
        <v>421</v>
      </c>
      <c r="E430" s="34">
        <v>55</v>
      </c>
      <c r="F430" s="35">
        <f>IFERROR(LOOKUP(E430,CODIGOS!A:A,CODIGOS!B:B)," ")</f>
        <v>0</v>
      </c>
      <c r="G430" s="9"/>
      <c r="H430" s="36">
        <v>25</v>
      </c>
      <c r="I430" s="34" t="s">
        <v>11</v>
      </c>
      <c r="J430" s="9"/>
    </row>
    <row r="431" spans="1:10">
      <c r="A431" s="39">
        <v>430</v>
      </c>
      <c r="B431" s="33">
        <v>45180</v>
      </c>
      <c r="C431" s="40">
        <v>1745</v>
      </c>
      <c r="D431" s="9" t="s">
        <v>422</v>
      </c>
      <c r="E431" s="34">
        <v>55</v>
      </c>
      <c r="F431" s="35">
        <f>IFERROR(LOOKUP(E431,CODIGOS!A:A,CODIGOS!B:B)," ")</f>
        <v>0</v>
      </c>
      <c r="G431" s="9"/>
      <c r="H431" s="36">
        <v>25</v>
      </c>
      <c r="I431" s="34" t="s">
        <v>11</v>
      </c>
      <c r="J431" s="9"/>
    </row>
    <row r="432" spans="1:10">
      <c r="A432" s="39">
        <v>431</v>
      </c>
      <c r="B432" s="33">
        <v>45180</v>
      </c>
      <c r="C432" s="40">
        <v>2177</v>
      </c>
      <c r="D432" s="9" t="s">
        <v>423</v>
      </c>
      <c r="E432" s="34">
        <v>55</v>
      </c>
      <c r="F432" s="35">
        <f>IFERROR(LOOKUP(E432,CODIGOS!A:A,CODIGOS!B:B)," ")</f>
        <v>0</v>
      </c>
      <c r="G432" s="9"/>
      <c r="H432" s="36">
        <v>25</v>
      </c>
      <c r="I432" s="34" t="s">
        <v>11</v>
      </c>
      <c r="J432" s="9"/>
    </row>
    <row r="433" spans="1:10">
      <c r="A433" s="39">
        <v>432</v>
      </c>
      <c r="B433" s="33">
        <v>45180</v>
      </c>
      <c r="C433" s="40">
        <v>2273</v>
      </c>
      <c r="D433" s="9" t="s">
        <v>424</v>
      </c>
      <c r="E433" s="34">
        <v>55</v>
      </c>
      <c r="F433" s="35">
        <f>IFERROR(LOOKUP(E433,CODIGOS!A:A,CODIGOS!B:B)," ")</f>
        <v>0</v>
      </c>
      <c r="G433" s="9"/>
      <c r="H433" s="36">
        <v>25</v>
      </c>
      <c r="I433" s="34" t="s">
        <v>11</v>
      </c>
      <c r="J433" s="9"/>
    </row>
    <row r="434" spans="1:10">
      <c r="A434" s="39">
        <v>433</v>
      </c>
      <c r="B434" s="33">
        <v>45180</v>
      </c>
      <c r="C434" s="40">
        <v>2082</v>
      </c>
      <c r="D434" s="9" t="s">
        <v>425</v>
      </c>
      <c r="E434" s="34">
        <v>55</v>
      </c>
      <c r="F434" s="35">
        <f>IFERROR(LOOKUP(E434,CODIGOS!A:A,CODIGOS!B:B)," ")</f>
        <v>0</v>
      </c>
      <c r="G434" s="9"/>
      <c r="H434" s="36">
        <v>25</v>
      </c>
      <c r="I434" s="34" t="s">
        <v>20</v>
      </c>
      <c r="J434" s="9"/>
    </row>
    <row r="435" spans="1:10">
      <c r="A435" s="39">
        <v>434</v>
      </c>
      <c r="B435" s="33">
        <v>45180</v>
      </c>
      <c r="C435" s="9">
        <v>2003</v>
      </c>
      <c r="D435" s="9" t="s">
        <v>10</v>
      </c>
      <c r="E435" s="34">
        <v>55</v>
      </c>
      <c r="F435" s="35">
        <f>IFERROR(LOOKUP(E435,CODIGOS!A:A,CODIGOS!B:B)," ")</f>
        <v>0</v>
      </c>
      <c r="G435" s="9"/>
      <c r="H435" s="36">
        <v>25</v>
      </c>
      <c r="I435" s="34" t="s">
        <v>11</v>
      </c>
      <c r="J435" s="9"/>
    </row>
    <row r="436" spans="1:10">
      <c r="A436" s="39">
        <v>435</v>
      </c>
      <c r="B436" s="33">
        <v>45180</v>
      </c>
      <c r="C436" s="9">
        <v>2612</v>
      </c>
      <c r="D436" s="9" t="s">
        <v>61</v>
      </c>
      <c r="E436" s="34">
        <v>55</v>
      </c>
      <c r="F436" s="35">
        <f>IFERROR(LOOKUP(E436,CODIGOS!A:A,CODIGOS!B:B)," ")</f>
        <v>0</v>
      </c>
      <c r="G436" s="9"/>
      <c r="H436" s="36">
        <v>25</v>
      </c>
      <c r="I436" s="34" t="s">
        <v>11</v>
      </c>
      <c r="J436" s="9"/>
    </row>
    <row r="437" spans="1:10">
      <c r="A437" s="39">
        <v>436</v>
      </c>
      <c r="B437" s="33">
        <v>45180</v>
      </c>
      <c r="C437" s="9">
        <v>2614</v>
      </c>
      <c r="D437" s="9" t="s">
        <v>426</v>
      </c>
      <c r="E437" s="34">
        <v>55</v>
      </c>
      <c r="F437" s="35">
        <f>IFERROR(LOOKUP(E437,CODIGOS!A:A,CODIGOS!B:B)," ")</f>
        <v>0</v>
      </c>
      <c r="G437" s="9"/>
      <c r="H437" s="36">
        <v>25</v>
      </c>
      <c r="I437" s="34" t="s">
        <v>11</v>
      </c>
      <c r="J437" s="9"/>
    </row>
    <row r="438" spans="1:10">
      <c r="A438" s="39">
        <v>437</v>
      </c>
      <c r="B438" s="33">
        <v>45180</v>
      </c>
      <c r="C438" s="9">
        <v>2070</v>
      </c>
      <c r="D438" s="9" t="s">
        <v>427</v>
      </c>
      <c r="E438" s="34">
        <v>55</v>
      </c>
      <c r="F438" s="35">
        <f>IFERROR(LOOKUP(E438,CODIGOS!A:A,CODIGOS!B:B)," ")</f>
        <v>0</v>
      </c>
      <c r="G438" s="9"/>
      <c r="H438" s="36">
        <v>25</v>
      </c>
      <c r="I438" s="34" t="s">
        <v>11</v>
      </c>
      <c r="J438" s="9"/>
    </row>
    <row r="439" spans="1:10">
      <c r="A439" s="39">
        <v>438</v>
      </c>
      <c r="B439" s="33">
        <v>45180</v>
      </c>
      <c r="C439" s="9">
        <v>2000</v>
      </c>
      <c r="D439" s="9" t="s">
        <v>428</v>
      </c>
      <c r="E439" s="34">
        <v>55</v>
      </c>
      <c r="F439" s="35">
        <f>IFERROR(LOOKUP(E439,CODIGOS!A:A,CODIGOS!B:B)," ")</f>
        <v>0</v>
      </c>
      <c r="G439" s="9"/>
      <c r="H439" s="36">
        <v>25</v>
      </c>
      <c r="I439" s="34" t="s">
        <v>11</v>
      </c>
      <c r="J439" s="9"/>
    </row>
    <row r="440" spans="1:10">
      <c r="A440" s="39">
        <v>439</v>
      </c>
      <c r="B440" s="33">
        <v>45180</v>
      </c>
      <c r="C440" s="9">
        <v>2074</v>
      </c>
      <c r="D440" s="9" t="s">
        <v>429</v>
      </c>
      <c r="E440" s="34">
        <v>55</v>
      </c>
      <c r="F440" s="35">
        <f>IFERROR(LOOKUP(E440,CODIGOS!A:A,CODIGOS!B:B)," ")</f>
        <v>0</v>
      </c>
      <c r="G440" s="9"/>
      <c r="H440" s="36">
        <v>25</v>
      </c>
      <c r="I440" s="34" t="s">
        <v>11</v>
      </c>
      <c r="J440" s="9"/>
    </row>
    <row r="441" spans="1:10">
      <c r="A441" s="39">
        <v>440</v>
      </c>
      <c r="B441" s="33">
        <v>45180</v>
      </c>
      <c r="C441" s="9">
        <v>2457</v>
      </c>
      <c r="D441" s="9" t="s">
        <v>430</v>
      </c>
      <c r="E441" s="34">
        <v>55</v>
      </c>
      <c r="F441" s="35">
        <f>IFERROR(LOOKUP(E441,CODIGOS!A:A,CODIGOS!B:B)," ")</f>
        <v>0</v>
      </c>
      <c r="G441" s="9"/>
      <c r="H441" s="36">
        <v>25</v>
      </c>
      <c r="I441" s="34" t="s">
        <v>11</v>
      </c>
      <c r="J441" s="9"/>
    </row>
    <row r="442" spans="1:10">
      <c r="A442" s="39">
        <v>441</v>
      </c>
      <c r="B442" s="33">
        <v>45180</v>
      </c>
      <c r="C442" s="9">
        <v>2619</v>
      </c>
      <c r="D442" s="9" t="s">
        <v>431</v>
      </c>
      <c r="E442" s="34">
        <v>55</v>
      </c>
      <c r="F442" s="35">
        <f>IFERROR(LOOKUP(E442,CODIGOS!A:A,CODIGOS!B:B)," ")</f>
        <v>0</v>
      </c>
      <c r="G442" s="9"/>
      <c r="H442" s="36">
        <v>25</v>
      </c>
      <c r="I442" s="34" t="s">
        <v>11</v>
      </c>
      <c r="J442" s="9"/>
    </row>
    <row r="443" spans="1:10">
      <c r="A443" s="39">
        <v>442</v>
      </c>
      <c r="B443" s="33">
        <v>45180</v>
      </c>
      <c r="C443" s="9">
        <v>2654</v>
      </c>
      <c r="D443" s="9" t="s">
        <v>432</v>
      </c>
      <c r="E443" s="34">
        <v>55</v>
      </c>
      <c r="F443" s="35">
        <f>IFERROR(LOOKUP(E443,CODIGOS!A:A,CODIGOS!B:B)," ")</f>
        <v>0</v>
      </c>
      <c r="G443" s="9"/>
      <c r="H443" s="36">
        <v>25</v>
      </c>
      <c r="I443" s="34" t="s">
        <v>11</v>
      </c>
      <c r="J443" s="9"/>
    </row>
    <row r="444" spans="1:10">
      <c r="A444" s="39">
        <v>443</v>
      </c>
      <c r="B444" s="33">
        <v>45180</v>
      </c>
      <c r="C444" s="9">
        <v>2390</v>
      </c>
      <c r="D444" s="9" t="s">
        <v>433</v>
      </c>
      <c r="E444" s="34">
        <v>55</v>
      </c>
      <c r="F444" s="35">
        <f>IFERROR(LOOKUP(E444,CODIGOS!A:A,CODIGOS!B:B)," ")</f>
        <v>0</v>
      </c>
      <c r="G444" s="9"/>
      <c r="H444" s="36">
        <v>25</v>
      </c>
      <c r="I444" s="34" t="s">
        <v>11</v>
      </c>
      <c r="J444" s="9"/>
    </row>
    <row r="445" spans="1:10">
      <c r="A445" s="39">
        <v>444</v>
      </c>
      <c r="B445" s="33">
        <v>45180</v>
      </c>
      <c r="C445" s="9">
        <v>2391</v>
      </c>
      <c r="D445" s="9" t="s">
        <v>434</v>
      </c>
      <c r="E445" s="34">
        <v>55</v>
      </c>
      <c r="F445" s="35">
        <f>IFERROR(LOOKUP(E445,CODIGOS!A:A,CODIGOS!B:B)," ")</f>
        <v>0</v>
      </c>
      <c r="G445" s="9"/>
      <c r="H445" s="36">
        <v>25</v>
      </c>
      <c r="I445" s="34" t="s">
        <v>11</v>
      </c>
      <c r="J445" s="9"/>
    </row>
    <row r="446" spans="1:10">
      <c r="A446" s="39">
        <v>445</v>
      </c>
      <c r="B446" s="33">
        <v>45180</v>
      </c>
      <c r="C446" s="9">
        <v>2751</v>
      </c>
      <c r="D446" s="9" t="s">
        <v>435</v>
      </c>
      <c r="E446" s="34">
        <v>55</v>
      </c>
      <c r="F446" s="35">
        <f>IFERROR(LOOKUP(E446,CODIGOS!A:A,CODIGOS!B:B)," ")</f>
        <v>0</v>
      </c>
      <c r="G446" s="9"/>
      <c r="H446" s="42">
        <v>25</v>
      </c>
      <c r="I446" s="34" t="s">
        <v>11</v>
      </c>
      <c r="J446" s="9"/>
    </row>
    <row r="447" spans="1:10">
      <c r="A447" s="39">
        <v>446</v>
      </c>
      <c r="B447" s="33">
        <v>45180</v>
      </c>
      <c r="C447" s="9">
        <v>1433</v>
      </c>
      <c r="D447" s="9" t="s">
        <v>436</v>
      </c>
      <c r="E447" s="34">
        <v>55</v>
      </c>
      <c r="F447" s="35">
        <f>IFERROR(LOOKUP(E447,CODIGOS!A:A,CODIGOS!B:B)," ")</f>
        <v>0</v>
      </c>
      <c r="G447" s="9"/>
      <c r="H447" s="42">
        <v>25</v>
      </c>
      <c r="I447" s="34" t="s">
        <v>11</v>
      </c>
      <c r="J447" s="9"/>
    </row>
    <row r="448" spans="1:10">
      <c r="A448" s="39">
        <v>447</v>
      </c>
      <c r="B448" s="33">
        <v>45180</v>
      </c>
      <c r="C448" s="9">
        <v>2362</v>
      </c>
      <c r="D448" s="9" t="s">
        <v>437</v>
      </c>
      <c r="E448" s="34">
        <v>55</v>
      </c>
      <c r="F448" s="35">
        <f>IFERROR(LOOKUP(E448,CODIGOS!A:A,CODIGOS!B:B)," ")</f>
        <v>0</v>
      </c>
      <c r="G448" s="9"/>
      <c r="H448" s="36">
        <v>25</v>
      </c>
      <c r="I448" s="34" t="s">
        <v>11</v>
      </c>
      <c r="J448" s="9"/>
    </row>
    <row r="449" spans="1:10">
      <c r="A449" s="39">
        <v>448</v>
      </c>
      <c r="B449" s="33">
        <v>45180</v>
      </c>
      <c r="C449" s="9">
        <v>2628</v>
      </c>
      <c r="D449" s="9" t="s">
        <v>438</v>
      </c>
      <c r="E449" s="34">
        <v>55</v>
      </c>
      <c r="F449" s="35">
        <f>IFERROR(LOOKUP(E449,CODIGOS!A:A,CODIGOS!B:B)," ")</f>
        <v>0</v>
      </c>
      <c r="G449" s="9"/>
      <c r="H449" s="36">
        <v>25</v>
      </c>
      <c r="I449" s="34" t="s">
        <v>11</v>
      </c>
      <c r="J449" s="9"/>
    </row>
    <row r="450" spans="1:10">
      <c r="A450" s="39">
        <v>449</v>
      </c>
      <c r="B450" s="33">
        <v>45180</v>
      </c>
      <c r="C450" s="9">
        <v>2374</v>
      </c>
      <c r="D450" s="9" t="s">
        <v>98</v>
      </c>
      <c r="E450" s="34">
        <v>55</v>
      </c>
      <c r="F450" s="35">
        <f>IFERROR(LOOKUP(E450,CODIGOS!A:A,CODIGOS!B:B)," ")</f>
        <v>0</v>
      </c>
      <c r="G450" s="9"/>
      <c r="H450" s="36">
        <v>25</v>
      </c>
      <c r="I450" s="34" t="s">
        <v>11</v>
      </c>
      <c r="J450" s="9"/>
    </row>
    <row r="451" spans="1:10">
      <c r="A451" s="39">
        <v>450</v>
      </c>
      <c r="B451" s="33">
        <v>45180</v>
      </c>
      <c r="C451" s="9">
        <v>2403</v>
      </c>
      <c r="D451" s="9" t="s">
        <v>97</v>
      </c>
      <c r="E451" s="34">
        <v>55</v>
      </c>
      <c r="F451" s="35">
        <f>IFERROR(LOOKUP(E451,CODIGOS!A:A,CODIGOS!B:B)," ")</f>
        <v>0</v>
      </c>
      <c r="G451" s="9"/>
      <c r="H451" s="36">
        <v>25</v>
      </c>
      <c r="I451" s="34" t="s">
        <v>11</v>
      </c>
      <c r="J451" s="9"/>
    </row>
    <row r="452" spans="1:10">
      <c r="A452" s="39">
        <v>451</v>
      </c>
      <c r="B452" s="33">
        <v>45180</v>
      </c>
      <c r="C452" s="9">
        <v>2334</v>
      </c>
      <c r="D452" s="9" t="s">
        <v>439</v>
      </c>
      <c r="E452" s="34">
        <v>55</v>
      </c>
      <c r="F452" s="35">
        <f>IFERROR(LOOKUP(E452,CODIGOS!A:A,CODIGOS!B:B)," ")</f>
        <v>0</v>
      </c>
      <c r="G452" s="9"/>
      <c r="H452" s="36">
        <v>25</v>
      </c>
      <c r="I452" s="34" t="s">
        <v>11</v>
      </c>
      <c r="J452" s="9"/>
    </row>
    <row r="453" spans="1:10">
      <c r="A453" s="39">
        <v>452</v>
      </c>
      <c r="B453" s="33">
        <v>45180</v>
      </c>
      <c r="C453" s="9">
        <v>2494</v>
      </c>
      <c r="D453" s="9" t="s">
        <v>440</v>
      </c>
      <c r="E453" s="34">
        <v>55</v>
      </c>
      <c r="F453" s="35">
        <f>IFERROR(LOOKUP(E453,CODIGOS!A:A,CODIGOS!B:B)," ")</f>
        <v>0</v>
      </c>
      <c r="G453" s="9"/>
      <c r="H453" s="36">
        <v>25</v>
      </c>
      <c r="I453" s="34" t="s">
        <v>11</v>
      </c>
      <c r="J453" s="9"/>
    </row>
    <row r="454" spans="1:10">
      <c r="A454" s="39">
        <v>453</v>
      </c>
      <c r="B454" s="33">
        <v>45180</v>
      </c>
      <c r="C454" s="9">
        <v>1853</v>
      </c>
      <c r="D454" s="9" t="s">
        <v>441</v>
      </c>
      <c r="E454" s="34">
        <v>55</v>
      </c>
      <c r="F454" s="35">
        <f>IFERROR(LOOKUP(E454,CODIGOS!A:A,CODIGOS!B:B)," ")</f>
        <v>0</v>
      </c>
      <c r="G454" s="9"/>
      <c r="H454" s="36">
        <v>25</v>
      </c>
      <c r="I454" s="34" t="s">
        <v>11</v>
      </c>
      <c r="J454" s="9"/>
    </row>
    <row r="455" spans="1:10">
      <c r="A455" s="39">
        <v>454</v>
      </c>
      <c r="B455" s="33">
        <v>45180</v>
      </c>
      <c r="C455" s="9">
        <v>2616</v>
      </c>
      <c r="D455" s="9" t="s">
        <v>81</v>
      </c>
      <c r="E455" s="34">
        <v>55</v>
      </c>
      <c r="F455" s="35">
        <f>IFERROR(LOOKUP(E455,CODIGOS!A:A,CODIGOS!B:B)," ")</f>
        <v>0</v>
      </c>
      <c r="G455" s="9"/>
      <c r="H455" s="36">
        <v>25</v>
      </c>
      <c r="I455" s="34" t="s">
        <v>11</v>
      </c>
      <c r="J455" s="9"/>
    </row>
    <row r="456" spans="1:10">
      <c r="A456" s="39">
        <v>455</v>
      </c>
      <c r="B456" s="33">
        <v>45180</v>
      </c>
      <c r="C456" s="9">
        <v>2731</v>
      </c>
      <c r="D456" s="9" t="s">
        <v>185</v>
      </c>
      <c r="E456" s="34">
        <v>55</v>
      </c>
      <c r="F456" s="35">
        <f>IFERROR(LOOKUP(E456,CODIGOS!A:A,CODIGOS!B:B)," ")</f>
        <v>0</v>
      </c>
      <c r="G456" s="9"/>
      <c r="H456" s="36">
        <v>25</v>
      </c>
      <c r="I456" s="34" t="s">
        <v>11</v>
      </c>
      <c r="J456" s="9"/>
    </row>
    <row r="457" spans="1:10">
      <c r="A457" s="39">
        <v>456</v>
      </c>
      <c r="B457" s="33">
        <v>45180</v>
      </c>
      <c r="C457" s="9">
        <v>2658</v>
      </c>
      <c r="D457" s="9" t="s">
        <v>442</v>
      </c>
      <c r="E457" s="34">
        <v>55</v>
      </c>
      <c r="F457" s="35">
        <f>IFERROR(LOOKUP(E457,CODIGOS!A:A,CODIGOS!B:B)," ")</f>
        <v>0</v>
      </c>
      <c r="G457" s="9"/>
      <c r="H457" s="36">
        <v>25</v>
      </c>
      <c r="I457" s="34" t="s">
        <v>11</v>
      </c>
      <c r="J457" s="9"/>
    </row>
    <row r="458" spans="1:10">
      <c r="A458" s="39">
        <v>457</v>
      </c>
      <c r="B458" s="33">
        <v>45180</v>
      </c>
      <c r="C458" s="9">
        <v>2752</v>
      </c>
      <c r="D458" s="9" t="s">
        <v>443</v>
      </c>
      <c r="E458" s="34">
        <v>55</v>
      </c>
      <c r="F458" s="35">
        <f>IFERROR(LOOKUP(E458,CODIGOS!A:A,CODIGOS!B:B)," ")</f>
        <v>0</v>
      </c>
      <c r="G458" s="9"/>
      <c r="H458" s="36">
        <v>25</v>
      </c>
      <c r="I458" s="34" t="s">
        <v>11</v>
      </c>
      <c r="J458" s="9"/>
    </row>
    <row r="459" spans="1:10">
      <c r="A459" s="39">
        <v>458</v>
      </c>
      <c r="B459" s="33">
        <v>45180</v>
      </c>
      <c r="C459" s="9">
        <v>2661</v>
      </c>
      <c r="D459" s="9" t="s">
        <v>444</v>
      </c>
      <c r="E459" s="34">
        <v>55</v>
      </c>
      <c r="F459" s="35">
        <f>IFERROR(LOOKUP(E459,CODIGOS!A:A,CODIGOS!B:B)," ")</f>
        <v>0</v>
      </c>
      <c r="G459" s="9"/>
      <c r="H459" s="36">
        <v>25</v>
      </c>
      <c r="I459" s="34" t="s">
        <v>11</v>
      </c>
      <c r="J459" s="9"/>
    </row>
    <row r="460" spans="1:10">
      <c r="A460" s="39">
        <v>459</v>
      </c>
      <c r="B460" s="33">
        <v>45181</v>
      </c>
      <c r="C460" s="40">
        <v>1910</v>
      </c>
      <c r="D460" s="9" t="s">
        <v>445</v>
      </c>
      <c r="E460" s="34">
        <v>55</v>
      </c>
      <c r="F460" s="35">
        <f>IFERROR(LOOKUP(E460,CODIGOS!A:A,CODIGOS!B:B)," ")</f>
        <v>0</v>
      </c>
      <c r="G460" s="9"/>
      <c r="H460" s="36">
        <v>25</v>
      </c>
      <c r="I460" s="34"/>
      <c r="J460" s="9"/>
    </row>
    <row r="461" spans="1:10">
      <c r="A461" s="39">
        <v>460</v>
      </c>
      <c r="B461" s="33">
        <v>45181</v>
      </c>
      <c r="C461" s="40">
        <v>2531</v>
      </c>
      <c r="D461" s="9" t="s">
        <v>446</v>
      </c>
      <c r="E461" s="34">
        <v>55</v>
      </c>
      <c r="F461" s="35">
        <f>IFERROR(LOOKUP(E461,CODIGOS!A:A,CODIGOS!B:B)," ")</f>
        <v>0</v>
      </c>
      <c r="G461" s="9"/>
      <c r="H461" s="36">
        <v>25</v>
      </c>
      <c r="I461" s="34" t="s">
        <v>115</v>
      </c>
      <c r="J461" s="9"/>
    </row>
    <row r="462" spans="1:10">
      <c r="A462" s="39">
        <v>461</v>
      </c>
      <c r="B462" s="33">
        <v>45181</v>
      </c>
      <c r="C462" s="40">
        <v>2533</v>
      </c>
      <c r="D462" s="9" t="s">
        <v>447</v>
      </c>
      <c r="E462" s="34">
        <v>55</v>
      </c>
      <c r="F462" s="35">
        <f>IFERROR(LOOKUP(E462,CODIGOS!A:A,CODIGOS!B:B)," ")</f>
        <v>0</v>
      </c>
      <c r="G462" s="9"/>
      <c r="H462" s="36">
        <v>25</v>
      </c>
      <c r="I462" s="34" t="s">
        <v>115</v>
      </c>
      <c r="J462" s="9"/>
    </row>
    <row r="463" spans="1:10">
      <c r="A463" s="39">
        <v>462</v>
      </c>
      <c r="B463" s="33">
        <v>45181</v>
      </c>
      <c r="C463" s="40">
        <v>2424</v>
      </c>
      <c r="D463" s="9" t="s">
        <v>448</v>
      </c>
      <c r="E463" s="34">
        <v>55</v>
      </c>
      <c r="F463" s="35">
        <f>IFERROR(LOOKUP(E463,CODIGOS!A:A,CODIGOS!B:B)," ")</f>
        <v>0</v>
      </c>
      <c r="G463" s="9"/>
      <c r="H463" s="36">
        <v>25</v>
      </c>
      <c r="I463" s="34" t="s">
        <v>115</v>
      </c>
      <c r="J463" s="9"/>
    </row>
    <row r="464" spans="1:10">
      <c r="A464" s="39">
        <v>463</v>
      </c>
      <c r="B464" s="33">
        <v>45181</v>
      </c>
      <c r="C464" s="40">
        <v>2753</v>
      </c>
      <c r="D464" s="9" t="s">
        <v>449</v>
      </c>
      <c r="E464" s="34">
        <v>55</v>
      </c>
      <c r="F464" s="35">
        <f>IFERROR(LOOKUP(E464,CODIGOS!A:A,CODIGOS!B:B)," ")</f>
        <v>0</v>
      </c>
      <c r="G464" s="9"/>
      <c r="H464" s="36">
        <v>25</v>
      </c>
      <c r="I464" s="34" t="s">
        <v>115</v>
      </c>
      <c r="J464" s="9"/>
    </row>
    <row r="465" spans="1:10">
      <c r="A465" s="39">
        <v>464</v>
      </c>
      <c r="B465" s="33">
        <v>45181</v>
      </c>
      <c r="C465" s="9">
        <v>2754</v>
      </c>
      <c r="D465" s="9" t="s">
        <v>450</v>
      </c>
      <c r="E465" s="34">
        <v>55</v>
      </c>
      <c r="F465" s="35">
        <f>IFERROR(LOOKUP(E465,CODIGOS!A:A,CODIGOS!B:B)," ")</f>
        <v>0</v>
      </c>
      <c r="G465" s="9"/>
      <c r="H465" s="36">
        <v>25</v>
      </c>
      <c r="I465" s="34" t="s">
        <v>115</v>
      </c>
      <c r="J465" s="9"/>
    </row>
    <row r="466" spans="1:10">
      <c r="A466" s="39">
        <v>465</v>
      </c>
      <c r="B466" s="33">
        <v>45181</v>
      </c>
      <c r="C466" s="9">
        <v>2510</v>
      </c>
      <c r="D466" s="9" t="s">
        <v>451</v>
      </c>
      <c r="E466" s="34">
        <v>55</v>
      </c>
      <c r="F466" s="35">
        <f>IFERROR(LOOKUP(E466,CODIGOS!A:A,CODIGOS!B:B)," ")</f>
        <v>0</v>
      </c>
      <c r="G466" s="9"/>
      <c r="H466" s="36">
        <v>25</v>
      </c>
      <c r="I466" s="34" t="s">
        <v>115</v>
      </c>
      <c r="J466" s="9"/>
    </row>
    <row r="467" spans="1:10">
      <c r="A467" s="39">
        <v>466</v>
      </c>
      <c r="B467" s="33">
        <v>45181</v>
      </c>
      <c r="C467" s="9">
        <v>2510</v>
      </c>
      <c r="D467" s="9" t="s">
        <v>451</v>
      </c>
      <c r="E467" s="34">
        <v>15</v>
      </c>
      <c r="F467" s="35" t="str">
        <f>IFERROR(LOOKUP(E467,CODIGOS!A:A,CODIGOS!B:B)," ")</f>
        <v>MUSEO SAN JUAN DE DIOS CP</v>
      </c>
      <c r="G467" s="9"/>
      <c r="H467" s="36">
        <v>6</v>
      </c>
      <c r="I467" s="34"/>
      <c r="J467" s="9"/>
    </row>
    <row r="468" spans="1:10">
      <c r="A468" s="39">
        <v>467</v>
      </c>
      <c r="B468" s="33">
        <v>45181</v>
      </c>
      <c r="C468" s="9">
        <v>2510</v>
      </c>
      <c r="D468" s="9" t="s">
        <v>451</v>
      </c>
      <c r="E468" s="34">
        <v>15</v>
      </c>
      <c r="F468" s="35" t="str">
        <f>IFERROR(LOOKUP(E468,CODIGOS!A:A,CODIGOS!B:B)," ")</f>
        <v>MUSEO SAN JUAN DE DIOS CP</v>
      </c>
      <c r="G468" s="9"/>
      <c r="H468" s="36">
        <v>6</v>
      </c>
      <c r="I468" s="34"/>
      <c r="J468" s="9"/>
    </row>
    <row r="469" spans="1:10">
      <c r="A469" s="39">
        <v>468</v>
      </c>
      <c r="B469" s="33">
        <v>45181</v>
      </c>
      <c r="C469" s="9">
        <v>2755</v>
      </c>
      <c r="D469" s="9" t="s">
        <v>452</v>
      </c>
      <c r="E469" s="34">
        <v>55</v>
      </c>
      <c r="F469" s="35">
        <f>IFERROR(LOOKUP(E469,CODIGOS!A:A,CODIGOS!B:B)," ")</f>
        <v>0</v>
      </c>
      <c r="G469" s="9"/>
      <c r="H469" s="36">
        <v>25</v>
      </c>
      <c r="I469" s="34" t="s">
        <v>115</v>
      </c>
      <c r="J469" s="9"/>
    </row>
    <row r="470" spans="1:10">
      <c r="A470" s="39">
        <v>469</v>
      </c>
      <c r="B470" s="33">
        <v>45181</v>
      </c>
      <c r="C470" s="9">
        <v>2756</v>
      </c>
      <c r="D470" s="9" t="s">
        <v>453</v>
      </c>
      <c r="E470" s="34">
        <v>55</v>
      </c>
      <c r="F470" s="35">
        <f>IFERROR(LOOKUP(E470,CODIGOS!A:A,CODIGOS!B:B)," ")</f>
        <v>0</v>
      </c>
      <c r="G470" s="9"/>
      <c r="H470" s="36">
        <v>25</v>
      </c>
      <c r="I470" s="34" t="s">
        <v>115</v>
      </c>
      <c r="J470" s="9"/>
    </row>
    <row r="471" spans="1:10">
      <c r="A471" s="39">
        <v>470</v>
      </c>
      <c r="B471" s="33">
        <v>45181</v>
      </c>
      <c r="C471" s="9">
        <v>2595</v>
      </c>
      <c r="D471" s="9" t="s">
        <v>454</v>
      </c>
      <c r="E471" s="34">
        <v>55</v>
      </c>
      <c r="F471" s="35">
        <f>IFERROR(LOOKUP(E471,CODIGOS!A:A,CODIGOS!B:B)," ")</f>
        <v>0</v>
      </c>
      <c r="G471" s="9"/>
      <c r="H471" s="36">
        <v>25</v>
      </c>
      <c r="I471" s="34" t="s">
        <v>11</v>
      </c>
      <c r="J471" s="9"/>
    </row>
    <row r="472" spans="1:10">
      <c r="A472" s="39">
        <v>471</v>
      </c>
      <c r="B472" s="33">
        <v>45181</v>
      </c>
      <c r="C472" s="9">
        <v>2626</v>
      </c>
      <c r="D472" s="9" t="s">
        <v>455</v>
      </c>
      <c r="E472" s="34">
        <v>55</v>
      </c>
      <c r="F472" s="35">
        <f>IFERROR(LOOKUP(E472,CODIGOS!A:A,CODIGOS!B:B)," ")</f>
        <v>0</v>
      </c>
      <c r="G472" s="9"/>
      <c r="H472" s="36">
        <v>25</v>
      </c>
      <c r="I472" s="34" t="s">
        <v>11</v>
      </c>
      <c r="J472" s="9"/>
    </row>
    <row r="473" spans="1:10">
      <c r="A473" s="39">
        <v>472</v>
      </c>
      <c r="B473" s="33">
        <v>45181</v>
      </c>
      <c r="C473" s="9">
        <v>2655</v>
      </c>
      <c r="D473" s="9" t="s">
        <v>456</v>
      </c>
      <c r="E473" s="34">
        <v>55</v>
      </c>
      <c r="F473" s="35">
        <f>IFERROR(LOOKUP(E473,CODIGOS!A:A,CODIGOS!B:B)," ")</f>
        <v>0</v>
      </c>
      <c r="G473" s="9"/>
      <c r="H473" s="36">
        <v>25</v>
      </c>
      <c r="I473" s="34" t="s">
        <v>11</v>
      </c>
      <c r="J473" s="9"/>
    </row>
    <row r="474" spans="1:10">
      <c r="A474" s="39">
        <v>473</v>
      </c>
      <c r="B474" s="33">
        <v>45181</v>
      </c>
      <c r="C474" s="9">
        <v>2453</v>
      </c>
      <c r="D474" s="9" t="s">
        <v>457</v>
      </c>
      <c r="E474" s="34">
        <v>55</v>
      </c>
      <c r="F474" s="35">
        <f>IFERROR(LOOKUP(E474,CODIGOS!A:A,CODIGOS!B:B)," ")</f>
        <v>0</v>
      </c>
      <c r="G474" s="9"/>
      <c r="H474" s="36">
        <v>25</v>
      </c>
      <c r="I474" s="34" t="s">
        <v>11</v>
      </c>
      <c r="J474" s="9"/>
    </row>
    <row r="475" spans="1:10">
      <c r="A475" s="39">
        <v>474</v>
      </c>
      <c r="B475" s="33">
        <v>45181</v>
      </c>
      <c r="C475" s="9">
        <v>1178</v>
      </c>
      <c r="D475" s="9" t="s">
        <v>458</v>
      </c>
      <c r="E475" s="34">
        <v>55</v>
      </c>
      <c r="F475" s="35">
        <f>IFERROR(LOOKUP(E475,CODIGOS!A:A,CODIGOS!B:B)," ")</f>
        <v>0</v>
      </c>
      <c r="G475" s="9"/>
      <c r="H475" s="36">
        <v>25</v>
      </c>
      <c r="I475" s="34" t="s">
        <v>115</v>
      </c>
      <c r="J475" s="9"/>
    </row>
    <row r="476" spans="1:10">
      <c r="A476" s="39">
        <v>475</v>
      </c>
      <c r="B476" s="33">
        <v>45181</v>
      </c>
      <c r="C476" s="9">
        <v>2456</v>
      </c>
      <c r="D476" s="9" t="s">
        <v>459</v>
      </c>
      <c r="E476" s="34">
        <v>55</v>
      </c>
      <c r="F476" s="35">
        <f>IFERROR(LOOKUP(E476,CODIGOS!A:A,CODIGOS!B:B)," ")</f>
        <v>0</v>
      </c>
      <c r="G476" s="9"/>
      <c r="H476" s="42">
        <v>25</v>
      </c>
      <c r="I476" s="34" t="s">
        <v>115</v>
      </c>
      <c r="J476" s="9"/>
    </row>
    <row r="477" spans="1:10">
      <c r="A477" s="39">
        <v>476</v>
      </c>
      <c r="B477" s="33">
        <v>45181</v>
      </c>
      <c r="C477" s="9">
        <v>2414</v>
      </c>
      <c r="D477" s="9" t="s">
        <v>460</v>
      </c>
      <c r="E477" s="34">
        <v>55</v>
      </c>
      <c r="F477" s="35">
        <f>IFERROR(LOOKUP(E477,CODIGOS!A:A,CODIGOS!B:B)," ")</f>
        <v>0</v>
      </c>
      <c r="G477" s="9"/>
      <c r="H477" s="42">
        <v>25</v>
      </c>
      <c r="I477" s="34" t="s">
        <v>115</v>
      </c>
      <c r="J477" s="9"/>
    </row>
    <row r="478" spans="1:10">
      <c r="A478" s="39">
        <v>477</v>
      </c>
      <c r="B478" s="33">
        <v>45181</v>
      </c>
      <c r="C478" s="9">
        <v>1397</v>
      </c>
      <c r="D478" s="9" t="s">
        <v>461</v>
      </c>
      <c r="E478" s="34">
        <v>55</v>
      </c>
      <c r="F478" s="35">
        <f>IFERROR(LOOKUP(E478,CODIGOS!A:A,CODIGOS!B:B)," ")</f>
        <v>0</v>
      </c>
      <c r="G478" s="9"/>
      <c r="H478" s="36">
        <v>25</v>
      </c>
      <c r="I478" s="34" t="s">
        <v>115</v>
      </c>
      <c r="J478" s="9"/>
    </row>
    <row r="479" spans="1:10">
      <c r="A479" s="39">
        <v>478</v>
      </c>
      <c r="B479" s="33">
        <v>45181</v>
      </c>
      <c r="C479" s="9">
        <v>2008</v>
      </c>
      <c r="D479" s="9" t="s">
        <v>462</v>
      </c>
      <c r="E479" s="34">
        <v>55</v>
      </c>
      <c r="F479" s="35">
        <f>IFERROR(LOOKUP(E479,CODIGOS!A:A,CODIGOS!B:B)," ")</f>
        <v>0</v>
      </c>
      <c r="G479" s="9"/>
      <c r="H479" s="36">
        <v>25</v>
      </c>
      <c r="I479" s="34" t="s">
        <v>115</v>
      </c>
      <c r="J479" s="9"/>
    </row>
    <row r="480" spans="1:10">
      <c r="A480" s="39">
        <v>479</v>
      </c>
      <c r="B480" s="33">
        <v>45181</v>
      </c>
      <c r="C480" s="9">
        <v>2757</v>
      </c>
      <c r="D480" s="9" t="s">
        <v>463</v>
      </c>
      <c r="E480" s="34">
        <v>55</v>
      </c>
      <c r="F480" s="35">
        <f>IFERROR(LOOKUP(E480,CODIGOS!A:A,CODIGOS!B:B)," ")</f>
        <v>0</v>
      </c>
      <c r="G480" s="9"/>
      <c r="H480" s="36">
        <v>25</v>
      </c>
      <c r="I480" s="34" t="s">
        <v>115</v>
      </c>
      <c r="J480" s="9"/>
    </row>
    <row r="481" spans="1:10">
      <c r="A481" s="39">
        <v>480</v>
      </c>
      <c r="B481" s="33">
        <v>45181</v>
      </c>
      <c r="C481" s="9">
        <v>2481</v>
      </c>
      <c r="D481" s="9" t="s">
        <v>464</v>
      </c>
      <c r="E481" s="34">
        <v>55</v>
      </c>
      <c r="F481" s="35">
        <f>IFERROR(LOOKUP(E481,CODIGOS!A:A,CODIGOS!B:B)," ")</f>
        <v>0</v>
      </c>
      <c r="G481" s="9"/>
      <c r="H481" s="36">
        <v>25</v>
      </c>
      <c r="I481" s="34" t="s">
        <v>115</v>
      </c>
      <c r="J481" s="9"/>
    </row>
    <row r="482" spans="1:10">
      <c r="A482" s="39">
        <v>481</v>
      </c>
      <c r="B482" s="33">
        <v>45181</v>
      </c>
      <c r="C482" s="9">
        <v>1861</v>
      </c>
      <c r="D482" s="9" t="s">
        <v>465</v>
      </c>
      <c r="E482" s="34">
        <v>55</v>
      </c>
      <c r="F482" s="35">
        <f>IFERROR(LOOKUP(E482,CODIGOS!A:A,CODIGOS!B:B)," ")</f>
        <v>0</v>
      </c>
      <c r="G482" s="9"/>
      <c r="H482" s="36">
        <v>25</v>
      </c>
      <c r="I482" s="34" t="s">
        <v>20</v>
      </c>
      <c r="J482" s="9"/>
    </row>
    <row r="483" spans="1:10">
      <c r="A483" s="39">
        <v>482</v>
      </c>
      <c r="B483" s="33">
        <v>45181</v>
      </c>
      <c r="C483" s="9">
        <v>1888</v>
      </c>
      <c r="D483" s="9" t="s">
        <v>466</v>
      </c>
      <c r="E483" s="34">
        <v>55</v>
      </c>
      <c r="F483" s="35">
        <f>IFERROR(LOOKUP(E483,CODIGOS!A:A,CODIGOS!B:B)," ")</f>
        <v>0</v>
      </c>
      <c r="G483" s="9"/>
      <c r="H483" s="36">
        <v>25</v>
      </c>
      <c r="I483" s="34" t="s">
        <v>385</v>
      </c>
      <c r="J483" s="9"/>
    </row>
    <row r="484" spans="1:10">
      <c r="A484" s="39">
        <v>483</v>
      </c>
      <c r="B484" s="33">
        <v>45181</v>
      </c>
      <c r="C484" s="9"/>
      <c r="D484" s="9" t="s">
        <v>467</v>
      </c>
      <c r="E484" s="34">
        <v>55</v>
      </c>
      <c r="F484" s="35">
        <f>IFERROR(LOOKUP(E484,CODIGOS!A:A,CODIGOS!B:B)," ")</f>
        <v>0</v>
      </c>
      <c r="G484" s="9"/>
      <c r="H484" s="36">
        <v>25</v>
      </c>
      <c r="I484" s="34" t="s">
        <v>115</v>
      </c>
      <c r="J484" s="9"/>
    </row>
    <row r="485" spans="1:10">
      <c r="A485" s="39">
        <v>484</v>
      </c>
      <c r="B485" s="33">
        <v>45181</v>
      </c>
      <c r="C485" s="9"/>
      <c r="D485" s="9" t="s">
        <v>468</v>
      </c>
      <c r="E485" s="34">
        <v>55</v>
      </c>
      <c r="F485" s="35">
        <f>IFERROR(LOOKUP(E485,CODIGOS!A:A,CODIGOS!B:B)," ")</f>
        <v>0</v>
      </c>
      <c r="G485" s="9"/>
      <c r="H485" s="36">
        <v>25</v>
      </c>
      <c r="I485" s="34" t="s">
        <v>115</v>
      </c>
      <c r="J485" s="9"/>
    </row>
    <row r="486" spans="1:10">
      <c r="A486" s="39">
        <v>485</v>
      </c>
      <c r="B486" s="33">
        <v>45181</v>
      </c>
      <c r="C486" s="9"/>
      <c r="D486" s="9" t="s">
        <v>467</v>
      </c>
      <c r="E486" s="34">
        <v>15</v>
      </c>
      <c r="F486" s="35" t="str">
        <f>IFERROR(LOOKUP(E486,CODIGOS!A:A,CODIGOS!B:B)," ")</f>
        <v>MUSEO SAN JUAN DE DIOS CP</v>
      </c>
      <c r="G486" s="9"/>
      <c r="H486" s="36">
        <v>12</v>
      </c>
      <c r="I486" s="34"/>
      <c r="J486" s="9"/>
    </row>
    <row r="487" spans="1:10">
      <c r="A487" s="39">
        <v>486</v>
      </c>
      <c r="B487" s="33">
        <v>45181</v>
      </c>
      <c r="C487" s="44"/>
      <c r="D487" s="9" t="s">
        <v>468</v>
      </c>
      <c r="E487" s="34">
        <v>15</v>
      </c>
      <c r="F487" s="35" t="str">
        <f>IFERROR(LOOKUP(E487,CODIGOS!A:A,CODIGOS!B:B)," ")</f>
        <v>MUSEO SAN JUAN DE DIOS CP</v>
      </c>
      <c r="G487" s="9"/>
      <c r="H487" s="36">
        <v>12</v>
      </c>
      <c r="I487" s="34"/>
      <c r="J487" s="9"/>
    </row>
    <row r="488" spans="1:10">
      <c r="A488" s="39">
        <v>487</v>
      </c>
      <c r="B488" s="33">
        <v>45182</v>
      </c>
      <c r="C488" s="40">
        <v>2419</v>
      </c>
      <c r="D488" s="9" t="s">
        <v>469</v>
      </c>
      <c r="E488" s="34">
        <v>55</v>
      </c>
      <c r="F488" s="35">
        <f>IFERROR(LOOKUP(E488,CODIGOS!A:A,CODIGOS!B:B)," ")</f>
        <v>0</v>
      </c>
      <c r="G488" s="9"/>
      <c r="H488" s="36">
        <v>25</v>
      </c>
      <c r="I488" s="34" t="s">
        <v>11</v>
      </c>
      <c r="J488" s="9"/>
    </row>
    <row r="489" spans="1:10">
      <c r="A489" s="39">
        <v>488</v>
      </c>
      <c r="B489" s="33">
        <v>45182</v>
      </c>
      <c r="C489" s="40">
        <v>2482</v>
      </c>
      <c r="D489" s="9" t="s">
        <v>470</v>
      </c>
      <c r="E489" s="34">
        <v>55</v>
      </c>
      <c r="F489" s="35">
        <f>IFERROR(LOOKUP(E489,CODIGOS!A:A,CODIGOS!B:B)," ")</f>
        <v>0</v>
      </c>
      <c r="G489" s="9"/>
      <c r="H489" s="36">
        <v>25</v>
      </c>
      <c r="I489" s="34" t="s">
        <v>11</v>
      </c>
      <c r="J489" s="9"/>
    </row>
    <row r="490" spans="1:10">
      <c r="A490" s="39">
        <v>489</v>
      </c>
      <c r="B490" s="33">
        <v>45182</v>
      </c>
      <c r="C490" s="40">
        <v>2459</v>
      </c>
      <c r="D490" s="9" t="s">
        <v>471</v>
      </c>
      <c r="E490" s="34">
        <v>55</v>
      </c>
      <c r="F490" s="35">
        <f>IFERROR(LOOKUP(E490,CODIGOS!A:A,CODIGOS!B:B)," ")</f>
        <v>0</v>
      </c>
      <c r="G490" s="9"/>
      <c r="H490" s="36">
        <v>25</v>
      </c>
      <c r="I490" s="34" t="s">
        <v>11</v>
      </c>
      <c r="J490" s="9"/>
    </row>
    <row r="491" spans="1:10">
      <c r="A491" s="39">
        <v>490</v>
      </c>
      <c r="B491" s="33">
        <v>45182</v>
      </c>
      <c r="C491" s="40">
        <v>2437</v>
      </c>
      <c r="D491" s="9" t="s">
        <v>472</v>
      </c>
      <c r="E491" s="34">
        <v>55</v>
      </c>
      <c r="F491" s="35">
        <f>IFERROR(LOOKUP(E491,CODIGOS!A:A,CODIGOS!B:B)," ")</f>
        <v>0</v>
      </c>
      <c r="G491" s="9"/>
      <c r="H491" s="36">
        <v>25</v>
      </c>
      <c r="I491" s="34" t="s">
        <v>11</v>
      </c>
      <c r="J491" s="9"/>
    </row>
    <row r="492" spans="1:10">
      <c r="A492" s="39">
        <v>491</v>
      </c>
      <c r="B492" s="33">
        <v>45182</v>
      </c>
      <c r="C492" s="40">
        <v>1581</v>
      </c>
      <c r="D492" s="9" t="s">
        <v>473</v>
      </c>
      <c r="E492" s="34">
        <v>55</v>
      </c>
      <c r="F492" s="35">
        <f>IFERROR(LOOKUP(E492,CODIGOS!A:A,CODIGOS!B:B)," ")</f>
        <v>0</v>
      </c>
      <c r="G492" s="9"/>
      <c r="H492" s="36">
        <v>25</v>
      </c>
      <c r="I492" s="34" t="s">
        <v>20</v>
      </c>
      <c r="J492" s="9"/>
    </row>
    <row r="493" spans="1:10">
      <c r="A493" s="39">
        <v>492</v>
      </c>
      <c r="B493" s="33">
        <v>45182</v>
      </c>
      <c r="C493" s="9">
        <v>1030</v>
      </c>
      <c r="D493" s="9" t="s">
        <v>474</v>
      </c>
      <c r="E493" s="34">
        <v>55</v>
      </c>
      <c r="F493" s="35">
        <f>IFERROR(LOOKUP(E493,CODIGOS!A:A,CODIGOS!B:B)," ")</f>
        <v>0</v>
      </c>
      <c r="G493" s="9"/>
      <c r="H493" s="36">
        <v>25</v>
      </c>
      <c r="I493" s="34" t="s">
        <v>20</v>
      </c>
      <c r="J493" s="9"/>
    </row>
    <row r="494" spans="1:10">
      <c r="A494" s="39">
        <v>493</v>
      </c>
      <c r="B494" s="33">
        <v>45182</v>
      </c>
      <c r="C494" s="9">
        <v>1042</v>
      </c>
      <c r="D494" s="9" t="s">
        <v>475</v>
      </c>
      <c r="E494" s="34">
        <v>55</v>
      </c>
      <c r="F494" s="35">
        <f>IFERROR(LOOKUP(E494,CODIGOS!A:A,CODIGOS!B:B)," ")</f>
        <v>0</v>
      </c>
      <c r="G494" s="9"/>
      <c r="H494" s="36">
        <v>25</v>
      </c>
      <c r="I494" s="34" t="s">
        <v>20</v>
      </c>
      <c r="J494" s="9"/>
    </row>
    <row r="495" spans="1:10">
      <c r="A495" s="39">
        <v>494</v>
      </c>
      <c r="B495" s="33">
        <v>45182</v>
      </c>
      <c r="C495" s="9">
        <v>2758</v>
      </c>
      <c r="D495" s="9" t="s">
        <v>476</v>
      </c>
      <c r="E495" s="34">
        <v>55</v>
      </c>
      <c r="F495" s="35">
        <f>IFERROR(LOOKUP(E495,CODIGOS!A:A,CODIGOS!B:B)," ")</f>
        <v>0</v>
      </c>
      <c r="G495" s="9"/>
      <c r="H495" s="36">
        <v>25</v>
      </c>
      <c r="I495" s="34" t="s">
        <v>11</v>
      </c>
      <c r="J495" s="9"/>
    </row>
    <row r="496" spans="1:10">
      <c r="A496" s="39">
        <v>495</v>
      </c>
      <c r="B496" s="33">
        <v>45182</v>
      </c>
      <c r="C496" s="9">
        <v>2384</v>
      </c>
      <c r="D496" s="9" t="s">
        <v>477</v>
      </c>
      <c r="E496" s="34">
        <v>55</v>
      </c>
      <c r="F496" s="35">
        <f>IFERROR(LOOKUP(E496,CODIGOS!A:A,CODIGOS!B:B)," ")</f>
        <v>0</v>
      </c>
      <c r="G496" s="9"/>
      <c r="H496" s="36">
        <v>25</v>
      </c>
      <c r="I496" s="34" t="s">
        <v>11</v>
      </c>
      <c r="J496" s="9"/>
    </row>
    <row r="497" spans="1:10">
      <c r="A497" s="39">
        <v>496</v>
      </c>
      <c r="B497" s="33">
        <v>45182</v>
      </c>
      <c r="C497" s="9">
        <v>2759</v>
      </c>
      <c r="D497" s="9" t="s">
        <v>478</v>
      </c>
      <c r="E497" s="34">
        <v>55</v>
      </c>
      <c r="F497" s="35">
        <f>IFERROR(LOOKUP(E497,CODIGOS!A:A,CODIGOS!B:B)," ")</f>
        <v>0</v>
      </c>
      <c r="G497" s="9"/>
      <c r="H497" s="36">
        <v>25</v>
      </c>
      <c r="I497" s="34" t="s">
        <v>11</v>
      </c>
      <c r="J497" s="9"/>
    </row>
    <row r="498" spans="1:10">
      <c r="A498" s="39">
        <v>497</v>
      </c>
      <c r="B498" s="33">
        <v>45182</v>
      </c>
      <c r="C498" s="9">
        <v>2760</v>
      </c>
      <c r="D498" s="9" t="s">
        <v>479</v>
      </c>
      <c r="E498" s="34">
        <v>55</v>
      </c>
      <c r="F498" s="35">
        <f>IFERROR(LOOKUP(E498,CODIGOS!A:A,CODIGOS!B:B)," ")</f>
        <v>0</v>
      </c>
      <c r="G498" s="9"/>
      <c r="H498" s="36">
        <v>25</v>
      </c>
      <c r="I498" s="34" t="s">
        <v>11</v>
      </c>
      <c r="J498" s="9"/>
    </row>
    <row r="499" spans="1:10">
      <c r="A499" s="39">
        <v>498</v>
      </c>
      <c r="B499" s="33">
        <v>45182</v>
      </c>
      <c r="C499" s="9">
        <v>1856</v>
      </c>
      <c r="D499" s="9" t="s">
        <v>480</v>
      </c>
      <c r="E499" s="34">
        <v>55</v>
      </c>
      <c r="F499" s="35">
        <f>IFERROR(LOOKUP(E499,CODIGOS!A:A,CODIGOS!B:B)," ")</f>
        <v>0</v>
      </c>
      <c r="G499" s="9"/>
      <c r="H499" s="36">
        <v>25</v>
      </c>
      <c r="I499" s="34" t="s">
        <v>11</v>
      </c>
      <c r="J499" s="9"/>
    </row>
    <row r="500" spans="1:10">
      <c r="A500" s="39">
        <v>499</v>
      </c>
      <c r="B500" s="33">
        <v>45182</v>
      </c>
      <c r="C500" s="9">
        <v>2703</v>
      </c>
      <c r="D500" s="9" t="s">
        <v>481</v>
      </c>
      <c r="E500" s="34">
        <v>55</v>
      </c>
      <c r="F500" s="35">
        <f>IFERROR(LOOKUP(E500,CODIGOS!A:A,CODIGOS!B:B)," ")</f>
        <v>0</v>
      </c>
      <c r="G500" s="9"/>
      <c r="H500" s="36">
        <v>25</v>
      </c>
      <c r="I500" s="34" t="s">
        <v>20</v>
      </c>
      <c r="J500" s="9"/>
    </row>
    <row r="501" spans="1:10">
      <c r="A501" s="39">
        <v>500</v>
      </c>
      <c r="B501" s="33">
        <v>45182</v>
      </c>
      <c r="C501" s="9">
        <v>2704</v>
      </c>
      <c r="D501" s="9" t="s">
        <v>482</v>
      </c>
      <c r="E501" s="34">
        <v>55</v>
      </c>
      <c r="F501" s="35">
        <f>IFERROR(LOOKUP(E501,CODIGOS!A:A,CODIGOS!B:B)," ")</f>
        <v>0</v>
      </c>
      <c r="G501" s="9"/>
      <c r="H501" s="36">
        <v>25</v>
      </c>
      <c r="I501" s="34" t="s">
        <v>20</v>
      </c>
      <c r="J501" s="9"/>
    </row>
    <row r="502" spans="1:10">
      <c r="A502" s="39">
        <v>501</v>
      </c>
      <c r="B502" s="33">
        <v>45182</v>
      </c>
      <c r="C502" s="9">
        <v>2761</v>
      </c>
      <c r="D502" s="9" t="s">
        <v>483</v>
      </c>
      <c r="E502" s="34">
        <v>55</v>
      </c>
      <c r="F502" s="35">
        <f>IFERROR(LOOKUP(E502,CODIGOS!A:A,CODIGOS!B:B)," ")</f>
        <v>0</v>
      </c>
      <c r="G502" s="9"/>
      <c r="H502" s="36">
        <v>25</v>
      </c>
      <c r="I502" s="34" t="s">
        <v>11</v>
      </c>
      <c r="J502" s="9"/>
    </row>
    <row r="503" spans="1:10">
      <c r="A503" s="39">
        <v>502</v>
      </c>
      <c r="B503" s="33">
        <v>45182</v>
      </c>
      <c r="C503" s="9">
        <v>2762</v>
      </c>
      <c r="D503" s="9" t="s">
        <v>484</v>
      </c>
      <c r="E503" s="34">
        <v>55</v>
      </c>
      <c r="F503" s="35">
        <f>IFERROR(LOOKUP(E503,CODIGOS!A:A,CODIGOS!B:B)," ")</f>
        <v>0</v>
      </c>
      <c r="G503" s="9"/>
      <c r="H503" s="36">
        <v>25</v>
      </c>
      <c r="I503" s="34" t="s">
        <v>11</v>
      </c>
      <c r="J503" s="9"/>
    </row>
    <row r="504" spans="1:10">
      <c r="A504" s="39">
        <v>503</v>
      </c>
      <c r="B504" s="33">
        <v>45182</v>
      </c>
      <c r="C504" s="9">
        <v>1961</v>
      </c>
      <c r="D504" s="9" t="s">
        <v>485</v>
      </c>
      <c r="E504" s="34">
        <v>55</v>
      </c>
      <c r="F504" s="35">
        <f>IFERROR(LOOKUP(E504,CODIGOS!A:A,CODIGOS!B:B)," ")</f>
        <v>0</v>
      </c>
      <c r="G504" s="9"/>
      <c r="H504" s="42">
        <v>25</v>
      </c>
      <c r="I504" s="34" t="s">
        <v>486</v>
      </c>
      <c r="J504" s="9"/>
    </row>
    <row r="505" spans="1:10">
      <c r="A505" s="39">
        <v>504</v>
      </c>
      <c r="B505" s="33">
        <v>45183</v>
      </c>
      <c r="C505" s="40">
        <v>2569</v>
      </c>
      <c r="D505" s="9" t="s">
        <v>487</v>
      </c>
      <c r="E505" s="34">
        <v>55</v>
      </c>
      <c r="F505" s="35">
        <f>IFERROR(LOOKUP(E505,CODIGOS!A:A,CODIGOS!B:B)," ")</f>
        <v>0</v>
      </c>
      <c r="G505" s="9"/>
      <c r="H505" s="36">
        <v>25</v>
      </c>
      <c r="I505" s="34" t="s">
        <v>11</v>
      </c>
      <c r="J505" s="9"/>
    </row>
    <row r="506" spans="1:10">
      <c r="A506" s="39">
        <v>505</v>
      </c>
      <c r="B506" s="33">
        <v>45183</v>
      </c>
      <c r="C506" s="40">
        <v>2506</v>
      </c>
      <c r="D506" s="9" t="s">
        <v>488</v>
      </c>
      <c r="E506" s="34">
        <v>55</v>
      </c>
      <c r="F506" s="35">
        <f>IFERROR(LOOKUP(E506,CODIGOS!A:A,CODIGOS!B:B)," ")</f>
        <v>0</v>
      </c>
      <c r="G506" s="9"/>
      <c r="H506" s="36">
        <v>25</v>
      </c>
      <c r="I506" s="34" t="s">
        <v>11</v>
      </c>
      <c r="J506" s="9"/>
    </row>
    <row r="507" spans="1:10">
      <c r="A507" s="39">
        <v>506</v>
      </c>
      <c r="B507" s="33">
        <v>45183</v>
      </c>
      <c r="C507" s="40">
        <v>2580</v>
      </c>
      <c r="D507" s="9" t="s">
        <v>489</v>
      </c>
      <c r="E507" s="34">
        <v>55</v>
      </c>
      <c r="F507" s="35">
        <f>IFERROR(LOOKUP(E507,CODIGOS!A:A,CODIGOS!B:B)," ")</f>
        <v>0</v>
      </c>
      <c r="G507" s="9"/>
      <c r="H507" s="36">
        <v>25</v>
      </c>
      <c r="I507" s="34" t="s">
        <v>11</v>
      </c>
      <c r="J507" s="9"/>
    </row>
    <row r="508" spans="1:10">
      <c r="A508" s="39">
        <v>507</v>
      </c>
      <c r="B508" s="33">
        <v>45183</v>
      </c>
      <c r="C508" s="40">
        <v>2763</v>
      </c>
      <c r="D508" s="9" t="s">
        <v>490</v>
      </c>
      <c r="E508" s="34">
        <v>55</v>
      </c>
      <c r="F508" s="35">
        <f>IFERROR(LOOKUP(E508,CODIGOS!A:A,CODIGOS!B:B)," ")</f>
        <v>0</v>
      </c>
      <c r="G508" s="9"/>
      <c r="H508" s="36">
        <v>25</v>
      </c>
      <c r="I508" s="34" t="s">
        <v>11</v>
      </c>
      <c r="J508" s="9"/>
    </row>
    <row r="509" spans="1:10">
      <c r="A509" s="39">
        <v>508</v>
      </c>
      <c r="B509" s="33">
        <v>45183</v>
      </c>
      <c r="C509" s="40">
        <v>2509</v>
      </c>
      <c r="D509" s="9" t="s">
        <v>491</v>
      </c>
      <c r="E509" s="34">
        <v>55</v>
      </c>
      <c r="F509" s="35">
        <f>IFERROR(LOOKUP(E509,CODIGOS!A:A,CODIGOS!B:B)," ")</f>
        <v>0</v>
      </c>
      <c r="G509" s="9"/>
      <c r="H509" s="36">
        <v>25</v>
      </c>
      <c r="I509" s="34" t="s">
        <v>11</v>
      </c>
      <c r="J509" s="9"/>
    </row>
    <row r="510" spans="1:10">
      <c r="A510" s="39">
        <v>509</v>
      </c>
      <c r="B510" s="33">
        <v>45183</v>
      </c>
      <c r="C510" s="9">
        <v>2373</v>
      </c>
      <c r="D510" s="9" t="s">
        <v>492</v>
      </c>
      <c r="E510" s="34">
        <v>55</v>
      </c>
      <c r="F510" s="35">
        <f>IFERROR(LOOKUP(E510,CODIGOS!A:A,CODIGOS!B:B)," ")</f>
        <v>0</v>
      </c>
      <c r="G510" s="9"/>
      <c r="H510" s="36">
        <v>25</v>
      </c>
      <c r="I510" s="34" t="s">
        <v>11</v>
      </c>
      <c r="J510" s="9"/>
    </row>
    <row r="511" spans="1:10">
      <c r="A511" s="39">
        <v>510</v>
      </c>
      <c r="B511" s="33">
        <v>45183</v>
      </c>
      <c r="C511" s="9">
        <v>2529</v>
      </c>
      <c r="D511" s="9" t="s">
        <v>493</v>
      </c>
      <c r="E511" s="34">
        <v>55</v>
      </c>
      <c r="F511" s="35">
        <f>IFERROR(LOOKUP(E511,CODIGOS!A:A,CODIGOS!B:B)," ")</f>
        <v>0</v>
      </c>
      <c r="G511" s="9"/>
      <c r="H511" s="36">
        <v>25</v>
      </c>
      <c r="I511" s="34" t="s">
        <v>11</v>
      </c>
      <c r="J511" s="9"/>
    </row>
    <row r="512" spans="1:10">
      <c r="A512" s="39">
        <v>511</v>
      </c>
      <c r="B512" s="33">
        <v>45183</v>
      </c>
      <c r="C512" s="9">
        <v>2566</v>
      </c>
      <c r="D512" s="9" t="s">
        <v>494</v>
      </c>
      <c r="E512" s="34">
        <v>55</v>
      </c>
      <c r="F512" s="35">
        <f>IFERROR(LOOKUP(E512,CODIGOS!A:A,CODIGOS!B:B)," ")</f>
        <v>0</v>
      </c>
      <c r="G512" s="9"/>
      <c r="H512" s="36">
        <v>25</v>
      </c>
      <c r="I512" s="34" t="s">
        <v>11</v>
      </c>
      <c r="J512" s="9"/>
    </row>
    <row r="513" spans="1:10">
      <c r="A513" s="39">
        <v>512</v>
      </c>
      <c r="B513" s="33">
        <v>45183</v>
      </c>
      <c r="C513" s="9">
        <v>2764</v>
      </c>
      <c r="D513" s="9" t="s">
        <v>495</v>
      </c>
      <c r="E513" s="34">
        <v>55</v>
      </c>
      <c r="F513" s="35">
        <f>IFERROR(LOOKUP(E513,CODIGOS!A:A,CODIGOS!B:B)," ")</f>
        <v>0</v>
      </c>
      <c r="G513" s="9"/>
      <c r="H513" s="36">
        <v>25</v>
      </c>
      <c r="I513" s="34" t="s">
        <v>11</v>
      </c>
      <c r="J513" s="9"/>
    </row>
    <row r="514" spans="1:10">
      <c r="A514" s="39">
        <v>513</v>
      </c>
      <c r="B514" s="33">
        <v>45183</v>
      </c>
      <c r="C514" s="9">
        <v>2015</v>
      </c>
      <c r="D514" s="9" t="s">
        <v>496</v>
      </c>
      <c r="E514" s="34">
        <v>55</v>
      </c>
      <c r="F514" s="35">
        <f>IFERROR(LOOKUP(E514,CODIGOS!A:A,CODIGOS!B:B)," ")</f>
        <v>0</v>
      </c>
      <c r="G514" s="9"/>
      <c r="H514" s="36">
        <v>25</v>
      </c>
      <c r="I514" s="34" t="s">
        <v>11</v>
      </c>
      <c r="J514" s="9"/>
    </row>
    <row r="515" spans="1:10">
      <c r="A515" s="39">
        <v>514</v>
      </c>
      <c r="B515" s="33">
        <v>45183</v>
      </c>
      <c r="C515" s="9">
        <v>2015</v>
      </c>
      <c r="D515" s="9" t="s">
        <v>496</v>
      </c>
      <c r="E515" s="34">
        <v>15</v>
      </c>
      <c r="F515" s="35" t="str">
        <f>IFERROR(LOOKUP(E515,CODIGOS!A:A,CODIGOS!B:B)," ")</f>
        <v>MUSEO SAN JUAN DE DIOS CP</v>
      </c>
      <c r="G515" s="9"/>
      <c r="H515" s="36">
        <v>12</v>
      </c>
      <c r="I515" s="34"/>
      <c r="J515" s="9"/>
    </row>
    <row r="516" spans="1:10">
      <c r="A516" s="39">
        <v>515</v>
      </c>
      <c r="B516" s="33">
        <v>45183</v>
      </c>
      <c r="C516" s="9">
        <v>2696</v>
      </c>
      <c r="D516" s="9" t="s">
        <v>497</v>
      </c>
      <c r="E516" s="34">
        <v>55</v>
      </c>
      <c r="F516" s="35">
        <f>IFERROR(LOOKUP(E516,CODIGOS!A:A,CODIGOS!B:B)," ")</f>
        <v>0</v>
      </c>
      <c r="G516" s="9"/>
      <c r="H516" s="36">
        <v>25</v>
      </c>
      <c r="I516" s="34" t="s">
        <v>11</v>
      </c>
      <c r="J516" s="9"/>
    </row>
    <row r="517" spans="1:10">
      <c r="A517" s="39">
        <v>516</v>
      </c>
      <c r="B517" s="33">
        <v>45183</v>
      </c>
      <c r="C517" s="9">
        <v>2538</v>
      </c>
      <c r="D517" s="9" t="s">
        <v>498</v>
      </c>
      <c r="E517" s="34">
        <v>55</v>
      </c>
      <c r="F517" s="35">
        <f>IFERROR(LOOKUP(E517,CODIGOS!A:A,CODIGOS!B:B)," ")</f>
        <v>0</v>
      </c>
      <c r="G517" s="9"/>
      <c r="H517" s="36">
        <v>25</v>
      </c>
      <c r="I517" s="34" t="s">
        <v>11</v>
      </c>
      <c r="J517" s="9"/>
    </row>
    <row r="518" spans="1:10">
      <c r="A518" s="39">
        <v>517</v>
      </c>
      <c r="B518" s="33">
        <v>45183</v>
      </c>
      <c r="C518" s="9">
        <v>2563</v>
      </c>
      <c r="D518" s="9" t="s">
        <v>241</v>
      </c>
      <c r="E518" s="34">
        <v>15</v>
      </c>
      <c r="F518" s="35" t="str">
        <f>IFERROR(LOOKUP(E518,CODIGOS!A:A,CODIGOS!B:B)," ")</f>
        <v>MUSEO SAN JUAN DE DIOS CP</v>
      </c>
      <c r="G518" s="9"/>
      <c r="H518" s="36">
        <v>12</v>
      </c>
      <c r="I518" s="34"/>
      <c r="J518" s="9"/>
    </row>
    <row r="519" spans="1:10">
      <c r="A519" s="39">
        <v>518</v>
      </c>
      <c r="B519" s="33">
        <v>45183</v>
      </c>
      <c r="C519" s="9">
        <v>1674</v>
      </c>
      <c r="D519" s="9" t="s">
        <v>499</v>
      </c>
      <c r="E519" s="34">
        <v>55</v>
      </c>
      <c r="F519" s="35">
        <f>IFERROR(LOOKUP(E519,CODIGOS!A:A,CODIGOS!B:B)," ")</f>
        <v>0</v>
      </c>
      <c r="G519" s="9"/>
      <c r="H519" s="36">
        <v>25</v>
      </c>
      <c r="I519" s="34" t="s">
        <v>11</v>
      </c>
      <c r="J519" s="9"/>
    </row>
    <row r="520" spans="1:10">
      <c r="A520" s="39">
        <v>519</v>
      </c>
      <c r="B520" s="33">
        <v>45183</v>
      </c>
      <c r="C520" s="9">
        <v>2525</v>
      </c>
      <c r="D520" s="9" t="s">
        <v>500</v>
      </c>
      <c r="E520" s="34">
        <v>55</v>
      </c>
      <c r="F520" s="35">
        <f>IFERROR(LOOKUP(E520,CODIGOS!A:A,CODIGOS!B:B)," ")</f>
        <v>0</v>
      </c>
      <c r="G520" s="9"/>
      <c r="H520" s="36">
        <v>25</v>
      </c>
      <c r="I520" s="34" t="s">
        <v>20</v>
      </c>
      <c r="J520" s="9"/>
    </row>
    <row r="521" spans="1:10">
      <c r="A521" s="39">
        <v>520</v>
      </c>
      <c r="B521" s="33">
        <v>45183</v>
      </c>
      <c r="C521" s="9">
        <v>2019</v>
      </c>
      <c r="D521" s="9" t="s">
        <v>501</v>
      </c>
      <c r="E521" s="34">
        <v>55</v>
      </c>
      <c r="F521" s="35">
        <f>IFERROR(LOOKUP(E521,CODIGOS!A:A,CODIGOS!B:B)," ")</f>
        <v>0</v>
      </c>
      <c r="G521" s="9"/>
      <c r="H521" s="42">
        <v>25</v>
      </c>
      <c r="I521" s="34" t="s">
        <v>11</v>
      </c>
      <c r="J521" s="9"/>
    </row>
    <row r="522" spans="1:10">
      <c r="A522" s="39">
        <v>521</v>
      </c>
      <c r="B522" s="33">
        <v>45183</v>
      </c>
      <c r="C522" s="9">
        <v>2338</v>
      </c>
      <c r="D522" s="9" t="s">
        <v>502</v>
      </c>
      <c r="E522" s="34">
        <v>55</v>
      </c>
      <c r="F522" s="35">
        <f>IFERROR(LOOKUP(E522,CODIGOS!A:A,CODIGOS!B:B)," ")</f>
        <v>0</v>
      </c>
      <c r="G522" s="9"/>
      <c r="H522" s="42">
        <v>25</v>
      </c>
      <c r="I522" s="34" t="s">
        <v>11</v>
      </c>
      <c r="J522" s="9"/>
    </row>
    <row r="523" spans="1:10">
      <c r="A523" s="39">
        <v>522</v>
      </c>
      <c r="B523" s="33">
        <v>45183</v>
      </c>
      <c r="C523" s="9">
        <v>849</v>
      </c>
      <c r="D523" s="9" t="s">
        <v>503</v>
      </c>
      <c r="E523" s="34">
        <v>55</v>
      </c>
      <c r="F523" s="35">
        <f>IFERROR(LOOKUP(E523,CODIGOS!A:A,CODIGOS!B:B)," ")</f>
        <v>0</v>
      </c>
      <c r="G523" s="9"/>
      <c r="H523" s="36">
        <v>25</v>
      </c>
      <c r="I523" s="34" t="s">
        <v>11</v>
      </c>
      <c r="J523" s="9"/>
    </row>
    <row r="524" spans="1:10">
      <c r="A524" s="39">
        <v>523</v>
      </c>
      <c r="B524" s="33">
        <v>45183</v>
      </c>
      <c r="C524" s="9">
        <v>2500</v>
      </c>
      <c r="D524" s="9" t="s">
        <v>118</v>
      </c>
      <c r="E524" s="34">
        <v>55</v>
      </c>
      <c r="F524" s="35">
        <f>IFERROR(LOOKUP(E524,CODIGOS!A:A,CODIGOS!B:B)," ")</f>
        <v>0</v>
      </c>
      <c r="G524" s="9"/>
      <c r="H524" s="36">
        <v>25</v>
      </c>
      <c r="I524" s="34" t="s">
        <v>11</v>
      </c>
      <c r="J524" s="9"/>
    </row>
    <row r="525" spans="1:10">
      <c r="A525" s="39">
        <v>524</v>
      </c>
      <c r="B525" s="33">
        <v>45187</v>
      </c>
      <c r="C525" s="40">
        <v>1930</v>
      </c>
      <c r="D525" s="9" t="s">
        <v>12</v>
      </c>
      <c r="E525" s="34">
        <v>55</v>
      </c>
      <c r="F525" s="35">
        <f>IFERROR(LOOKUP(E525,CODIGOS!A:A,CODIGOS!B:B)," ")</f>
        <v>0</v>
      </c>
      <c r="G525" s="9"/>
      <c r="H525" s="36">
        <v>25</v>
      </c>
      <c r="I525" s="34" t="s">
        <v>11</v>
      </c>
      <c r="J525" s="9"/>
    </row>
    <row r="526" spans="1:10">
      <c r="A526" s="39">
        <v>525</v>
      </c>
      <c r="B526" s="33">
        <v>45187</v>
      </c>
      <c r="C526" s="40">
        <v>2004</v>
      </c>
      <c r="D526" s="9" t="s">
        <v>13</v>
      </c>
      <c r="E526" s="34">
        <v>55</v>
      </c>
      <c r="F526" s="35">
        <f>IFERROR(LOOKUP(E526,CODIGOS!A:A,CODIGOS!B:B)," ")</f>
        <v>0</v>
      </c>
      <c r="G526" s="9"/>
      <c r="H526" s="36">
        <v>25</v>
      </c>
      <c r="I526" s="34" t="s">
        <v>11</v>
      </c>
      <c r="J526" s="9"/>
    </row>
    <row r="527" spans="1:10">
      <c r="A527" s="39">
        <v>526</v>
      </c>
      <c r="B527" s="33">
        <v>45187</v>
      </c>
      <c r="C527" s="40">
        <v>2136</v>
      </c>
      <c r="D527" s="9" t="s">
        <v>504</v>
      </c>
      <c r="E527" s="34">
        <v>55</v>
      </c>
      <c r="F527" s="35">
        <f>IFERROR(LOOKUP(E527,CODIGOS!A:A,CODIGOS!B:B)," ")</f>
        <v>0</v>
      </c>
      <c r="G527" s="9"/>
      <c r="H527" s="36">
        <v>25</v>
      </c>
      <c r="I527" s="34" t="s">
        <v>20</v>
      </c>
      <c r="J527" s="9"/>
    </row>
    <row r="528" spans="1:10">
      <c r="A528" s="39">
        <v>527</v>
      </c>
      <c r="B528" s="33">
        <v>45187</v>
      </c>
      <c r="C528" s="40">
        <v>2765</v>
      </c>
      <c r="D528" s="9" t="s">
        <v>505</v>
      </c>
      <c r="E528" s="34">
        <v>55</v>
      </c>
      <c r="F528" s="35">
        <f>IFERROR(LOOKUP(E528,CODIGOS!A:A,CODIGOS!B:B)," ")</f>
        <v>0</v>
      </c>
      <c r="G528" s="9"/>
      <c r="H528" s="36">
        <v>25</v>
      </c>
      <c r="I528" s="34" t="s">
        <v>11</v>
      </c>
      <c r="J528" s="9"/>
    </row>
    <row r="529" spans="1:10">
      <c r="A529" s="39">
        <v>528</v>
      </c>
      <c r="B529" s="33">
        <v>45187</v>
      </c>
      <c r="C529" s="40">
        <v>2443</v>
      </c>
      <c r="D529" s="9" t="s">
        <v>506</v>
      </c>
      <c r="E529" s="34">
        <v>55</v>
      </c>
      <c r="F529" s="35">
        <f>IFERROR(LOOKUP(E529,CODIGOS!A:A,CODIGOS!B:B)," ")</f>
        <v>0</v>
      </c>
      <c r="G529" s="9"/>
      <c r="H529" s="36">
        <v>25</v>
      </c>
      <c r="I529" s="34" t="s">
        <v>11</v>
      </c>
      <c r="J529" s="9"/>
    </row>
    <row r="530" spans="1:10">
      <c r="A530" s="39">
        <v>529</v>
      </c>
      <c r="B530" s="33">
        <v>45187</v>
      </c>
      <c r="C530" s="9">
        <v>2263</v>
      </c>
      <c r="D530" s="9" t="s">
        <v>138</v>
      </c>
      <c r="E530" s="34">
        <v>55</v>
      </c>
      <c r="F530" s="35">
        <f>IFERROR(LOOKUP(E530,CODIGOS!A:A,CODIGOS!B:B)," ")</f>
        <v>0</v>
      </c>
      <c r="G530" s="9"/>
      <c r="H530" s="36">
        <v>25</v>
      </c>
      <c r="I530" s="34" t="s">
        <v>11</v>
      </c>
      <c r="J530" s="9"/>
    </row>
    <row r="531" spans="1:10">
      <c r="A531" s="39">
        <v>530</v>
      </c>
      <c r="B531" s="33">
        <v>45187</v>
      </c>
      <c r="C531" s="9">
        <v>2479</v>
      </c>
      <c r="D531" s="9" t="s">
        <v>507</v>
      </c>
      <c r="E531" s="34">
        <v>55</v>
      </c>
      <c r="F531" s="35">
        <f>IFERROR(LOOKUP(E531,CODIGOS!A:A,CODIGOS!B:B)," ")</f>
        <v>0</v>
      </c>
      <c r="G531" s="9"/>
      <c r="H531" s="36">
        <v>25</v>
      </c>
      <c r="I531" s="34" t="s">
        <v>11</v>
      </c>
      <c r="J531" s="9"/>
    </row>
    <row r="532" spans="1:10">
      <c r="A532" s="39">
        <v>531</v>
      </c>
      <c r="B532" s="33">
        <v>45187</v>
      </c>
      <c r="C532" s="9">
        <v>2679</v>
      </c>
      <c r="D532" s="9" t="s">
        <v>508</v>
      </c>
      <c r="E532" s="34">
        <v>55</v>
      </c>
      <c r="F532" s="35">
        <f>IFERROR(LOOKUP(E532,CODIGOS!A:A,CODIGOS!B:B)," ")</f>
        <v>0</v>
      </c>
      <c r="G532" s="9"/>
      <c r="H532" s="36">
        <v>25</v>
      </c>
      <c r="I532" s="34" t="s">
        <v>11</v>
      </c>
      <c r="J532" s="9"/>
    </row>
    <row r="533" spans="1:10">
      <c r="A533" s="39">
        <v>532</v>
      </c>
      <c r="B533" s="33">
        <v>45187</v>
      </c>
      <c r="C533" s="9">
        <v>2733</v>
      </c>
      <c r="D533" s="9" t="s">
        <v>509</v>
      </c>
      <c r="E533" s="34">
        <v>55</v>
      </c>
      <c r="F533" s="35">
        <f>IFERROR(LOOKUP(E533,CODIGOS!A:A,CODIGOS!B:B)," ")</f>
        <v>0</v>
      </c>
      <c r="G533" s="9"/>
      <c r="H533" s="36">
        <v>25</v>
      </c>
      <c r="I533" s="34" t="s">
        <v>11</v>
      </c>
      <c r="J533" s="9"/>
    </row>
    <row r="534" spans="1:10">
      <c r="A534" s="39">
        <v>533</v>
      </c>
      <c r="B534" s="33">
        <v>45187</v>
      </c>
      <c r="C534" s="9">
        <v>2398</v>
      </c>
      <c r="D534" s="9" t="s">
        <v>510</v>
      </c>
      <c r="E534" s="34">
        <v>55</v>
      </c>
      <c r="F534" s="35">
        <f>IFERROR(LOOKUP(E534,CODIGOS!A:A,CODIGOS!B:B)," ")</f>
        <v>0</v>
      </c>
      <c r="G534" s="9"/>
      <c r="H534" s="36">
        <v>25</v>
      </c>
      <c r="I534" s="34" t="s">
        <v>11</v>
      </c>
      <c r="J534" s="9"/>
    </row>
    <row r="535" spans="1:10">
      <c r="A535" s="39">
        <v>534</v>
      </c>
      <c r="B535" s="33">
        <v>45187</v>
      </c>
      <c r="C535" s="9">
        <v>2564</v>
      </c>
      <c r="D535" s="9" t="s">
        <v>511</v>
      </c>
      <c r="E535" s="34">
        <v>55</v>
      </c>
      <c r="F535" s="35">
        <f>IFERROR(LOOKUP(E535,CODIGOS!A:A,CODIGOS!B:B)," ")</f>
        <v>0</v>
      </c>
      <c r="G535" s="9"/>
      <c r="H535" s="36">
        <v>25</v>
      </c>
      <c r="I535" s="34" t="s">
        <v>11</v>
      </c>
      <c r="J535" s="9"/>
    </row>
    <row r="536" spans="1:10">
      <c r="A536" s="39">
        <v>535</v>
      </c>
      <c r="B536" s="33">
        <v>45187</v>
      </c>
      <c r="C536" s="9">
        <v>2471</v>
      </c>
      <c r="D536" s="9" t="s">
        <v>512</v>
      </c>
      <c r="E536" s="34">
        <v>55</v>
      </c>
      <c r="F536" s="35">
        <f>IFERROR(LOOKUP(E536,CODIGOS!A:A,CODIGOS!B:B)," ")</f>
        <v>0</v>
      </c>
      <c r="G536" s="9"/>
      <c r="H536" s="36">
        <v>25</v>
      </c>
      <c r="I536" s="34" t="s">
        <v>11</v>
      </c>
      <c r="J536" s="9"/>
    </row>
    <row r="537" spans="1:10">
      <c r="A537" s="39">
        <v>536</v>
      </c>
      <c r="B537" s="33">
        <v>45187</v>
      </c>
      <c r="C537" s="9">
        <v>2258</v>
      </c>
      <c r="D537" s="9" t="s">
        <v>513</v>
      </c>
      <c r="E537" s="34">
        <v>55</v>
      </c>
      <c r="F537" s="35">
        <f>IFERROR(LOOKUP(E537,CODIGOS!A:A,CODIGOS!B:B)," ")</f>
        <v>0</v>
      </c>
      <c r="G537" s="9"/>
      <c r="H537" s="36">
        <v>25</v>
      </c>
      <c r="I537" s="34" t="s">
        <v>11</v>
      </c>
      <c r="J537" s="9"/>
    </row>
    <row r="538" spans="1:10">
      <c r="A538" s="39">
        <v>537</v>
      </c>
      <c r="B538" s="33">
        <v>45187</v>
      </c>
      <c r="C538" s="9">
        <v>2551</v>
      </c>
      <c r="D538" s="9" t="s">
        <v>514</v>
      </c>
      <c r="E538" s="34">
        <v>55</v>
      </c>
      <c r="F538" s="35">
        <f>IFERROR(LOOKUP(E538,CODIGOS!A:A,CODIGOS!B:B)," ")</f>
        <v>0</v>
      </c>
      <c r="G538" s="9"/>
      <c r="H538" s="36">
        <v>25</v>
      </c>
      <c r="I538" s="34" t="s">
        <v>11</v>
      </c>
      <c r="J538" s="9"/>
    </row>
    <row r="539" spans="1:10">
      <c r="A539" s="39">
        <v>538</v>
      </c>
      <c r="B539" s="33">
        <v>45187</v>
      </c>
      <c r="C539" s="9">
        <v>1898</v>
      </c>
      <c r="D539" s="9" t="s">
        <v>515</v>
      </c>
      <c r="E539" s="34">
        <v>55</v>
      </c>
      <c r="F539" s="35">
        <f>IFERROR(LOOKUP(E539,CODIGOS!A:A,CODIGOS!B:B)," ")</f>
        <v>0</v>
      </c>
      <c r="G539" s="9"/>
      <c r="H539" s="36">
        <v>25</v>
      </c>
      <c r="I539" s="34" t="s">
        <v>11</v>
      </c>
      <c r="J539" s="9"/>
    </row>
    <row r="540" spans="1:10">
      <c r="A540" s="39">
        <v>539</v>
      </c>
      <c r="B540" s="33">
        <v>45187</v>
      </c>
      <c r="C540" s="9">
        <v>2766</v>
      </c>
      <c r="D540" s="9" t="s">
        <v>516</v>
      </c>
      <c r="E540" s="34">
        <v>55</v>
      </c>
      <c r="F540" s="35">
        <f>IFERROR(LOOKUP(E540,CODIGOS!A:A,CODIGOS!B:B)," ")</f>
        <v>0</v>
      </c>
      <c r="G540" s="9"/>
      <c r="H540" s="36">
        <v>25</v>
      </c>
      <c r="I540" s="34" t="s">
        <v>11</v>
      </c>
      <c r="J540" s="9"/>
    </row>
    <row r="541" spans="1:10">
      <c r="A541" s="39">
        <v>540</v>
      </c>
      <c r="B541" s="33">
        <v>45187</v>
      </c>
      <c r="C541" s="9">
        <v>2571</v>
      </c>
      <c r="D541" s="9" t="s">
        <v>190</v>
      </c>
      <c r="E541" s="34">
        <v>55</v>
      </c>
      <c r="F541" s="35">
        <f>IFERROR(LOOKUP(E541,CODIGOS!A:A,CODIGOS!B:B)," ")</f>
        <v>0</v>
      </c>
      <c r="G541" s="9"/>
      <c r="H541" s="42">
        <v>25</v>
      </c>
      <c r="I541" s="34" t="s">
        <v>11</v>
      </c>
      <c r="J541" s="9"/>
    </row>
    <row r="542" spans="1:10">
      <c r="A542" s="39">
        <v>541</v>
      </c>
      <c r="B542" s="33">
        <v>45187</v>
      </c>
      <c r="C542" s="9">
        <v>1897</v>
      </c>
      <c r="D542" s="9" t="s">
        <v>77</v>
      </c>
      <c r="E542" s="34">
        <v>55</v>
      </c>
      <c r="F542" s="35">
        <f>IFERROR(LOOKUP(E542,CODIGOS!A:A,CODIGOS!B:B)," ")</f>
        <v>0</v>
      </c>
      <c r="G542" s="9"/>
      <c r="H542" s="42">
        <v>25</v>
      </c>
      <c r="I542" s="34" t="s">
        <v>11</v>
      </c>
      <c r="J542" s="9"/>
    </row>
    <row r="543" spans="1:10">
      <c r="A543" s="39">
        <v>542</v>
      </c>
      <c r="B543" s="33">
        <v>45187</v>
      </c>
      <c r="C543" s="9">
        <v>2672</v>
      </c>
      <c r="D543" s="9" t="s">
        <v>517</v>
      </c>
      <c r="E543" s="34">
        <v>55</v>
      </c>
      <c r="F543" s="35">
        <f>IFERROR(LOOKUP(E543,CODIGOS!A:A,CODIGOS!B:B)," ")</f>
        <v>0</v>
      </c>
      <c r="G543" s="9"/>
      <c r="H543" s="36">
        <v>25</v>
      </c>
      <c r="I543" s="34" t="s">
        <v>11</v>
      </c>
      <c r="J543" s="9"/>
    </row>
    <row r="544" spans="1:10">
      <c r="A544" s="39">
        <v>543</v>
      </c>
      <c r="B544" s="33">
        <v>45187</v>
      </c>
      <c r="C544" s="9">
        <v>2645</v>
      </c>
      <c r="D544" s="9" t="s">
        <v>518</v>
      </c>
      <c r="E544" s="34">
        <v>55</v>
      </c>
      <c r="F544" s="35">
        <f>IFERROR(LOOKUP(E544,CODIGOS!A:A,CODIGOS!B:B)," ")</f>
        <v>0</v>
      </c>
      <c r="G544" s="9"/>
      <c r="H544" s="36">
        <v>25</v>
      </c>
      <c r="I544" s="34" t="s">
        <v>11</v>
      </c>
      <c r="J544" s="9"/>
    </row>
    <row r="545" spans="1:10">
      <c r="A545" s="39">
        <v>544</v>
      </c>
      <c r="B545" s="33">
        <v>45187</v>
      </c>
      <c r="C545" s="9">
        <v>2719</v>
      </c>
      <c r="D545" s="9" t="s">
        <v>88</v>
      </c>
      <c r="E545" s="34">
        <v>55</v>
      </c>
      <c r="F545" s="35">
        <f>IFERROR(LOOKUP(E545,CODIGOS!A:A,CODIGOS!B:B)," ")</f>
        <v>0</v>
      </c>
      <c r="G545" s="9"/>
      <c r="H545" s="36">
        <v>25</v>
      </c>
      <c r="I545" s="34" t="s">
        <v>11</v>
      </c>
      <c r="J545" s="9"/>
    </row>
    <row r="546" spans="1:10">
      <c r="A546" s="39">
        <v>545</v>
      </c>
      <c r="B546" s="33">
        <v>45187</v>
      </c>
      <c r="C546" s="9">
        <v>2657</v>
      </c>
      <c r="D546" s="9" t="s">
        <v>519</v>
      </c>
      <c r="E546" s="34">
        <v>15</v>
      </c>
      <c r="F546" s="35" t="str">
        <f>IFERROR(LOOKUP(E546,CODIGOS!A:A,CODIGOS!B:B)," ")</f>
        <v>MUSEO SAN JUAN DE DIOS CP</v>
      </c>
      <c r="G546" s="9"/>
      <c r="H546" s="36">
        <v>6</v>
      </c>
      <c r="I546" s="34" t="s">
        <v>11</v>
      </c>
      <c r="J546" s="9"/>
    </row>
    <row r="547" spans="1:10">
      <c r="A547" s="39">
        <v>546</v>
      </c>
      <c r="B547" s="33">
        <v>45187</v>
      </c>
      <c r="C547" s="9">
        <v>2436</v>
      </c>
      <c r="D547" s="9" t="s">
        <v>321</v>
      </c>
      <c r="E547" s="34">
        <v>15</v>
      </c>
      <c r="F547" s="35" t="str">
        <f>IFERROR(LOOKUP(E547,CODIGOS!A:A,CODIGOS!B:B)," ")</f>
        <v>MUSEO SAN JUAN DE DIOS CP</v>
      </c>
      <c r="G547" s="9"/>
      <c r="H547" s="36">
        <v>6</v>
      </c>
      <c r="I547" s="34" t="s">
        <v>11</v>
      </c>
      <c r="J547" s="9"/>
    </row>
    <row r="548" spans="1:10">
      <c r="A548" s="39">
        <v>547</v>
      </c>
      <c r="B548" s="33">
        <v>45187</v>
      </c>
      <c r="C548" s="9">
        <v>2657</v>
      </c>
      <c r="D548" s="9" t="s">
        <v>519</v>
      </c>
      <c r="E548" s="34">
        <v>55</v>
      </c>
      <c r="F548" s="35">
        <f>IFERROR(LOOKUP(E548,CODIGOS!A:A,CODIGOS!B:B)," ")</f>
        <v>0</v>
      </c>
      <c r="G548" s="9"/>
      <c r="H548" s="36">
        <v>25</v>
      </c>
      <c r="I548" s="34" t="s">
        <v>11</v>
      </c>
      <c r="J548" s="9"/>
    </row>
    <row r="549" spans="1:10">
      <c r="A549" s="39">
        <v>548</v>
      </c>
      <c r="B549" s="33">
        <v>45187</v>
      </c>
      <c r="C549" s="9">
        <v>2436</v>
      </c>
      <c r="D549" s="9" t="s">
        <v>321</v>
      </c>
      <c r="E549" s="34">
        <v>55</v>
      </c>
      <c r="F549" s="35">
        <f>IFERROR(LOOKUP(E549,CODIGOS!A:A,CODIGOS!B:B)," ")</f>
        <v>0</v>
      </c>
      <c r="G549" s="9"/>
      <c r="H549" s="36">
        <v>25</v>
      </c>
      <c r="I549" s="34" t="s">
        <v>11</v>
      </c>
      <c r="J549" s="9"/>
    </row>
    <row r="550" spans="1:10">
      <c r="A550" s="39">
        <v>549</v>
      </c>
      <c r="B550" s="33">
        <v>45187</v>
      </c>
      <c r="C550" s="9">
        <v>1996</v>
      </c>
      <c r="D550" s="9" t="s">
        <v>520</v>
      </c>
      <c r="E550" s="34">
        <v>55</v>
      </c>
      <c r="F550" s="35">
        <f>IFERROR(LOOKUP(E550,CODIGOS!A:A,CODIGOS!B:B)," ")</f>
        <v>0</v>
      </c>
      <c r="G550" s="9"/>
      <c r="H550" s="36">
        <v>25</v>
      </c>
      <c r="I550" s="34" t="s">
        <v>11</v>
      </c>
      <c r="J550" s="9"/>
    </row>
    <row r="551" spans="1:10">
      <c r="A551" s="39">
        <v>550</v>
      </c>
      <c r="B551" s="33">
        <v>45187</v>
      </c>
      <c r="C551" s="9">
        <v>2062</v>
      </c>
      <c r="D551" s="9" t="s">
        <v>521</v>
      </c>
      <c r="E551" s="34">
        <v>55</v>
      </c>
      <c r="F551" s="35">
        <f>IFERROR(LOOKUP(E551,CODIGOS!A:A,CODIGOS!B:B)," ")</f>
        <v>0</v>
      </c>
      <c r="G551" s="9"/>
      <c r="H551" s="36">
        <v>25</v>
      </c>
      <c r="I551" s="34" t="s">
        <v>11</v>
      </c>
      <c r="J551" s="9"/>
    </row>
    <row r="552" spans="1:10">
      <c r="A552" s="39">
        <v>551</v>
      </c>
      <c r="B552" s="33">
        <v>45188</v>
      </c>
      <c r="C552" s="40">
        <v>810</v>
      </c>
      <c r="D552" s="9" t="s">
        <v>522</v>
      </c>
      <c r="E552" s="34">
        <v>55</v>
      </c>
      <c r="F552" s="35">
        <f>IFERROR(LOOKUP(E552,CODIGOS!A:A,CODIGOS!B:B)," ")</f>
        <v>0</v>
      </c>
      <c r="G552" s="9"/>
      <c r="H552" s="36">
        <v>25</v>
      </c>
      <c r="I552" s="34" t="s">
        <v>115</v>
      </c>
      <c r="J552" s="9"/>
    </row>
    <row r="553" spans="1:10">
      <c r="A553" s="39">
        <v>552</v>
      </c>
      <c r="B553" s="33">
        <v>45188</v>
      </c>
      <c r="C553" s="40">
        <v>1251</v>
      </c>
      <c r="D553" s="9" t="s">
        <v>523</v>
      </c>
      <c r="E553" s="34">
        <v>55</v>
      </c>
      <c r="F553" s="35">
        <f>IFERROR(LOOKUP(E553,CODIGOS!A:A,CODIGOS!B:B)," ")</f>
        <v>0</v>
      </c>
      <c r="G553" s="9"/>
      <c r="H553" s="36">
        <v>25</v>
      </c>
      <c r="I553" s="34" t="s">
        <v>115</v>
      </c>
      <c r="J553" s="9"/>
    </row>
    <row r="554" spans="1:10">
      <c r="A554" s="39">
        <v>553</v>
      </c>
      <c r="B554" s="33">
        <v>45188</v>
      </c>
      <c r="C554" s="40">
        <v>2767</v>
      </c>
      <c r="D554" s="9" t="s">
        <v>524</v>
      </c>
      <c r="E554" s="34">
        <v>55</v>
      </c>
      <c r="F554" s="35">
        <f>IFERROR(LOOKUP(E554,CODIGOS!A:A,CODIGOS!B:B)," ")</f>
        <v>0</v>
      </c>
      <c r="G554" s="9"/>
      <c r="H554" s="36">
        <v>25</v>
      </c>
      <c r="I554" s="34" t="s">
        <v>115</v>
      </c>
      <c r="J554" s="9"/>
    </row>
    <row r="555" spans="1:10">
      <c r="A555" s="39">
        <v>554</v>
      </c>
      <c r="B555" s="33">
        <v>45188</v>
      </c>
      <c r="C555" s="40">
        <v>2768</v>
      </c>
      <c r="D555" s="9" t="s">
        <v>525</v>
      </c>
      <c r="E555" s="34">
        <v>55</v>
      </c>
      <c r="F555" s="35">
        <f>IFERROR(LOOKUP(E555,CODIGOS!A:A,CODIGOS!B:B)," ")</f>
        <v>0</v>
      </c>
      <c r="G555" s="9"/>
      <c r="H555" s="36">
        <v>25</v>
      </c>
      <c r="I555" s="34" t="s">
        <v>115</v>
      </c>
      <c r="J555" s="9"/>
    </row>
    <row r="556" spans="1:10">
      <c r="A556" s="39">
        <v>555</v>
      </c>
      <c r="B556" s="33">
        <v>45188</v>
      </c>
      <c r="C556" s="40">
        <v>2023</v>
      </c>
      <c r="D556" s="9" t="s">
        <v>526</v>
      </c>
      <c r="E556" s="34">
        <v>55</v>
      </c>
      <c r="F556" s="35">
        <f>IFERROR(LOOKUP(E556,CODIGOS!A:A,CODIGOS!B:B)," ")</f>
        <v>0</v>
      </c>
      <c r="G556" s="9"/>
      <c r="H556" s="36">
        <v>25</v>
      </c>
      <c r="I556" s="34" t="s">
        <v>115</v>
      </c>
      <c r="J556" s="9"/>
    </row>
    <row r="557" spans="1:10">
      <c r="A557" s="39">
        <v>556</v>
      </c>
      <c r="B557" s="33">
        <v>45188</v>
      </c>
      <c r="C557" s="9">
        <v>2448</v>
      </c>
      <c r="D557" s="9" t="s">
        <v>527</v>
      </c>
      <c r="E557" s="34">
        <v>55</v>
      </c>
      <c r="F557" s="35">
        <f>IFERROR(LOOKUP(E557,CODIGOS!A:A,CODIGOS!B:B)," ")</f>
        <v>0</v>
      </c>
      <c r="G557" s="9"/>
      <c r="H557" s="36">
        <v>25</v>
      </c>
      <c r="I557" s="34" t="s">
        <v>20</v>
      </c>
      <c r="J557" s="9"/>
    </row>
    <row r="558" spans="1:10">
      <c r="A558" s="39">
        <v>557</v>
      </c>
      <c r="B558" s="33">
        <v>45188</v>
      </c>
      <c r="C558" s="9">
        <v>2447</v>
      </c>
      <c r="D558" s="9" t="s">
        <v>528</v>
      </c>
      <c r="E558" s="34">
        <v>55</v>
      </c>
      <c r="F558" s="35">
        <f>IFERROR(LOOKUP(E558,CODIGOS!A:A,CODIGOS!B:B)," ")</f>
        <v>0</v>
      </c>
      <c r="G558" s="9"/>
      <c r="H558" s="36">
        <v>25</v>
      </c>
      <c r="I558" s="34" t="s">
        <v>20</v>
      </c>
      <c r="J558" s="9"/>
    </row>
    <row r="559" spans="1:10">
      <c r="A559" s="39">
        <v>558</v>
      </c>
      <c r="B559" s="33">
        <v>45188</v>
      </c>
      <c r="C559" s="9">
        <v>2707</v>
      </c>
      <c r="D559" s="9" t="s">
        <v>529</v>
      </c>
      <c r="E559" s="34">
        <v>55</v>
      </c>
      <c r="F559" s="35">
        <f>IFERROR(LOOKUP(E559,CODIGOS!A:A,CODIGOS!B:B)," ")</f>
        <v>0</v>
      </c>
      <c r="G559" s="9"/>
      <c r="H559" s="36">
        <v>25</v>
      </c>
      <c r="I559" s="34" t="s">
        <v>20</v>
      </c>
      <c r="J559" s="9"/>
    </row>
    <row r="560" spans="1:10">
      <c r="A560" s="39">
        <v>559</v>
      </c>
      <c r="B560" s="33">
        <v>45188</v>
      </c>
      <c r="C560" s="9">
        <v>2173</v>
      </c>
      <c r="D560" s="9" t="s">
        <v>530</v>
      </c>
      <c r="E560" s="34">
        <v>55</v>
      </c>
      <c r="F560" s="35">
        <f>IFERROR(LOOKUP(E560,CODIGOS!A:A,CODIGOS!B:B)," ")</f>
        <v>0</v>
      </c>
      <c r="G560" s="9"/>
      <c r="H560" s="36">
        <v>25</v>
      </c>
      <c r="I560" s="34" t="s">
        <v>115</v>
      </c>
      <c r="J560" s="9"/>
    </row>
    <row r="561" spans="1:10">
      <c r="A561" s="39">
        <v>560</v>
      </c>
      <c r="B561" s="33">
        <v>45188</v>
      </c>
      <c r="C561" s="9">
        <v>2769</v>
      </c>
      <c r="D561" s="9" t="s">
        <v>531</v>
      </c>
      <c r="E561" s="34">
        <v>55</v>
      </c>
      <c r="F561" s="35">
        <f>IFERROR(LOOKUP(E561,CODIGOS!A:A,CODIGOS!B:B)," ")</f>
        <v>0</v>
      </c>
      <c r="G561" s="9"/>
      <c r="H561" s="36">
        <v>25</v>
      </c>
      <c r="I561" s="34" t="s">
        <v>115</v>
      </c>
      <c r="J561" s="9"/>
    </row>
    <row r="562" spans="1:10">
      <c r="A562" s="39">
        <v>561</v>
      </c>
      <c r="B562" s="33">
        <v>45188</v>
      </c>
      <c r="C562" s="9">
        <v>2641</v>
      </c>
      <c r="D562" s="9" t="s">
        <v>532</v>
      </c>
      <c r="E562" s="34">
        <v>55</v>
      </c>
      <c r="F562" s="35">
        <f>IFERROR(LOOKUP(E562,CODIGOS!A:A,CODIGOS!B:B)," ")</f>
        <v>0</v>
      </c>
      <c r="G562" s="9"/>
      <c r="H562" s="36">
        <v>25</v>
      </c>
      <c r="I562" s="34" t="s">
        <v>115</v>
      </c>
      <c r="J562" s="9"/>
    </row>
    <row r="563" spans="1:10">
      <c r="A563" s="39">
        <v>562</v>
      </c>
      <c r="B563" s="33">
        <v>45188</v>
      </c>
      <c r="C563" s="9" t="s">
        <v>533</v>
      </c>
      <c r="D563" s="9" t="s">
        <v>534</v>
      </c>
      <c r="E563" s="34">
        <v>15</v>
      </c>
      <c r="F563" s="35" t="str">
        <f>IFERROR(LOOKUP(E563,CODIGOS!A:A,CODIGOS!B:B)," ")</f>
        <v>MUSEO SAN JUAN DE DIOS CP</v>
      </c>
      <c r="G563" s="9"/>
      <c r="H563" s="36">
        <v>12</v>
      </c>
      <c r="I563" s="34"/>
      <c r="J563" s="9"/>
    </row>
    <row r="564" spans="1:10">
      <c r="A564" s="39">
        <v>563</v>
      </c>
      <c r="B564" s="33">
        <v>45189</v>
      </c>
      <c r="C564" s="40">
        <v>2505</v>
      </c>
      <c r="D564" s="9" t="s">
        <v>535</v>
      </c>
      <c r="E564" s="34">
        <v>55</v>
      </c>
      <c r="F564" s="35">
        <f>IFERROR(LOOKUP(E564,CODIGOS!A:A,CODIGOS!B:B)," ")</f>
        <v>0</v>
      </c>
      <c r="G564" s="9"/>
      <c r="H564" s="36">
        <v>25</v>
      </c>
      <c r="I564" s="34" t="s">
        <v>11</v>
      </c>
      <c r="J564" s="9"/>
    </row>
    <row r="565" spans="1:10">
      <c r="A565" s="39">
        <v>564</v>
      </c>
      <c r="B565" s="33">
        <v>45189</v>
      </c>
      <c r="C565" s="40">
        <v>2387</v>
      </c>
      <c r="D565" s="9" t="s">
        <v>536</v>
      </c>
      <c r="E565" s="34">
        <v>55</v>
      </c>
      <c r="F565" s="35">
        <f>IFERROR(LOOKUP(E565,CODIGOS!A:A,CODIGOS!B:B)," ")</f>
        <v>0</v>
      </c>
      <c r="G565" s="9"/>
      <c r="H565" s="36">
        <v>25</v>
      </c>
      <c r="I565" s="34" t="s">
        <v>11</v>
      </c>
      <c r="J565" s="9"/>
    </row>
    <row r="566" spans="1:10">
      <c r="A566" s="39">
        <v>565</v>
      </c>
      <c r="B566" s="33">
        <v>45189</v>
      </c>
      <c r="C566" s="40">
        <v>2730</v>
      </c>
      <c r="D566" s="9" t="s">
        <v>537</v>
      </c>
      <c r="E566" s="34">
        <v>55</v>
      </c>
      <c r="F566" s="35">
        <f>IFERROR(LOOKUP(E566,CODIGOS!A:A,CODIGOS!B:B)," ")</f>
        <v>0</v>
      </c>
      <c r="G566" s="9"/>
      <c r="H566" s="36">
        <v>25</v>
      </c>
      <c r="I566" s="34" t="s">
        <v>20</v>
      </c>
      <c r="J566" s="9"/>
    </row>
    <row r="567" spans="1:10">
      <c r="A567" s="39">
        <v>566</v>
      </c>
      <c r="B567" s="33">
        <v>45189</v>
      </c>
      <c r="C567" s="40">
        <v>2141</v>
      </c>
      <c r="D567" s="9" t="s">
        <v>538</v>
      </c>
      <c r="E567" s="34">
        <v>55</v>
      </c>
      <c r="F567" s="35">
        <f>IFERROR(LOOKUP(E567,CODIGOS!A:A,CODIGOS!B:B)," ")</f>
        <v>0</v>
      </c>
      <c r="G567" s="9"/>
      <c r="H567" s="36">
        <v>25</v>
      </c>
      <c r="I567" s="34" t="s">
        <v>11</v>
      </c>
      <c r="J567" s="9"/>
    </row>
    <row r="568" spans="1:10">
      <c r="A568" s="39">
        <v>567</v>
      </c>
      <c r="B568" s="33">
        <v>45189</v>
      </c>
      <c r="C568" s="40">
        <v>2452</v>
      </c>
      <c r="D568" s="9" t="s">
        <v>539</v>
      </c>
      <c r="E568" s="34">
        <v>55</v>
      </c>
      <c r="F568" s="35">
        <f>IFERROR(LOOKUP(E568,CODIGOS!A:A,CODIGOS!B:B)," ")</f>
        <v>0</v>
      </c>
      <c r="G568" s="9"/>
      <c r="H568" s="36">
        <v>25</v>
      </c>
      <c r="I568" s="34" t="s">
        <v>20</v>
      </c>
      <c r="J568" s="9"/>
    </row>
    <row r="569" spans="1:10">
      <c r="A569" s="39">
        <v>568</v>
      </c>
      <c r="B569" s="33">
        <v>45189</v>
      </c>
      <c r="C569" s="9">
        <v>1944</v>
      </c>
      <c r="D569" s="9" t="s">
        <v>160</v>
      </c>
      <c r="E569" s="34">
        <v>55</v>
      </c>
      <c r="F569" s="35">
        <f>IFERROR(LOOKUP(E569,CODIGOS!A:A,CODIGOS!B:B)," ")</f>
        <v>0</v>
      </c>
      <c r="G569" s="9"/>
      <c r="H569" s="36">
        <v>25</v>
      </c>
      <c r="I569" s="34" t="s">
        <v>11</v>
      </c>
      <c r="J569" s="9"/>
    </row>
    <row r="570" spans="1:10">
      <c r="A570" s="39">
        <v>569</v>
      </c>
      <c r="B570" s="33">
        <v>45189</v>
      </c>
      <c r="C570" s="9">
        <v>2770</v>
      </c>
      <c r="D570" s="9" t="s">
        <v>540</v>
      </c>
      <c r="E570" s="34">
        <v>55</v>
      </c>
      <c r="F570" s="35">
        <f>IFERROR(LOOKUP(E570,CODIGOS!A:A,CODIGOS!B:B)," ")</f>
        <v>0</v>
      </c>
      <c r="G570" s="9"/>
      <c r="H570" s="36">
        <v>25</v>
      </c>
      <c r="I570" s="34" t="s">
        <v>20</v>
      </c>
      <c r="J570" s="9"/>
    </row>
    <row r="571" spans="1:10">
      <c r="A571" s="39">
        <v>570</v>
      </c>
      <c r="B571" s="33">
        <v>45189</v>
      </c>
      <c r="C571" s="9">
        <v>2639</v>
      </c>
      <c r="D571" s="9" t="s">
        <v>541</v>
      </c>
      <c r="E571" s="34">
        <v>55</v>
      </c>
      <c r="F571" s="35">
        <f>IFERROR(LOOKUP(E571,CODIGOS!A:A,CODIGOS!B:B)," ")</f>
        <v>0</v>
      </c>
      <c r="G571" s="9"/>
      <c r="H571" s="36">
        <v>25</v>
      </c>
      <c r="I571" s="34" t="s">
        <v>11</v>
      </c>
      <c r="J571" s="9"/>
    </row>
    <row r="572" spans="1:10">
      <c r="A572" s="39">
        <v>571</v>
      </c>
      <c r="B572" s="33">
        <v>45189</v>
      </c>
      <c r="C572" s="9">
        <v>2369</v>
      </c>
      <c r="D572" s="9" t="s">
        <v>542</v>
      </c>
      <c r="E572" s="34">
        <v>55</v>
      </c>
      <c r="F572" s="35">
        <f>IFERROR(LOOKUP(E572,CODIGOS!A:A,CODIGOS!B:B)," ")</f>
        <v>0</v>
      </c>
      <c r="G572" s="9"/>
      <c r="H572" s="36">
        <v>25</v>
      </c>
      <c r="I572" s="34" t="s">
        <v>11</v>
      </c>
      <c r="J572" s="9"/>
    </row>
    <row r="573" spans="1:10">
      <c r="A573" s="39">
        <v>572</v>
      </c>
      <c r="B573" s="33">
        <v>45189</v>
      </c>
      <c r="C573" s="9">
        <v>2369</v>
      </c>
      <c r="D573" s="9" t="s">
        <v>542</v>
      </c>
      <c r="E573" s="34">
        <v>15</v>
      </c>
      <c r="F573" s="35" t="str">
        <f>IFERROR(LOOKUP(E573,CODIGOS!A:A,CODIGOS!B:B)," ")</f>
        <v>MUSEO SAN JUAN DE DIOS CP</v>
      </c>
      <c r="G573" s="9"/>
      <c r="H573" s="36">
        <v>6</v>
      </c>
      <c r="I573" s="34" t="s">
        <v>11</v>
      </c>
      <c r="J573" s="9"/>
    </row>
    <row r="574" spans="1:10">
      <c r="A574" s="39">
        <v>573</v>
      </c>
      <c r="B574" s="33">
        <v>45189</v>
      </c>
      <c r="C574" s="9">
        <v>2488</v>
      </c>
      <c r="D574" s="9" t="s">
        <v>543</v>
      </c>
      <c r="E574" s="34">
        <v>55</v>
      </c>
      <c r="F574" s="35">
        <f>IFERROR(LOOKUP(E574,CODIGOS!A:A,CODIGOS!B:B)," ")</f>
        <v>0</v>
      </c>
      <c r="G574" s="9"/>
      <c r="H574" s="36">
        <v>25</v>
      </c>
      <c r="I574" s="34" t="s">
        <v>11</v>
      </c>
      <c r="J574" s="9"/>
    </row>
    <row r="575" spans="1:10">
      <c r="A575" s="39">
        <v>574</v>
      </c>
      <c r="B575" s="33">
        <v>45189</v>
      </c>
      <c r="C575" s="9">
        <v>2667</v>
      </c>
      <c r="D575" s="9" t="s">
        <v>544</v>
      </c>
      <c r="E575" s="34">
        <v>55</v>
      </c>
      <c r="F575" s="35">
        <f>IFERROR(LOOKUP(E575,CODIGOS!A:A,CODIGOS!B:B)," ")</f>
        <v>0</v>
      </c>
      <c r="G575" s="9"/>
      <c r="H575" s="36">
        <v>25</v>
      </c>
      <c r="I575" s="34" t="s">
        <v>20</v>
      </c>
      <c r="J575" s="9"/>
    </row>
    <row r="576" spans="1:10">
      <c r="A576" s="39">
        <v>575</v>
      </c>
      <c r="B576" s="33">
        <v>45189</v>
      </c>
      <c r="C576" s="9">
        <v>2498</v>
      </c>
      <c r="D576" s="9" t="s">
        <v>177</v>
      </c>
      <c r="E576" s="34">
        <v>55</v>
      </c>
      <c r="F576" s="35">
        <f>IFERROR(LOOKUP(E576,CODIGOS!A:A,CODIGOS!B:B)," ")</f>
        <v>0</v>
      </c>
      <c r="G576" s="9"/>
      <c r="H576" s="36">
        <v>25</v>
      </c>
      <c r="I576" s="34" t="s">
        <v>20</v>
      </c>
      <c r="J576" s="9"/>
    </row>
    <row r="577" spans="1:10">
      <c r="A577" s="39">
        <v>576</v>
      </c>
      <c r="B577" s="33">
        <v>45190</v>
      </c>
      <c r="C577" s="40">
        <v>575</v>
      </c>
      <c r="D577" s="9" t="s">
        <v>545</v>
      </c>
      <c r="E577" s="34">
        <v>55</v>
      </c>
      <c r="F577" s="35">
        <f>IFERROR(LOOKUP(E577,CODIGOS!A:A,CODIGOS!B:B)," ")</f>
        <v>0</v>
      </c>
      <c r="G577" s="9"/>
      <c r="H577" s="36">
        <v>25</v>
      </c>
      <c r="I577" s="34" t="s">
        <v>20</v>
      </c>
      <c r="J577" s="9"/>
    </row>
    <row r="578" spans="1:10">
      <c r="A578" s="39">
        <v>577</v>
      </c>
      <c r="B578" s="33">
        <v>45190</v>
      </c>
      <c r="C578" s="40">
        <v>410</v>
      </c>
      <c r="D578" s="9" t="s">
        <v>546</v>
      </c>
      <c r="E578" s="34">
        <v>55</v>
      </c>
      <c r="F578" s="35">
        <f>IFERROR(LOOKUP(E578,CODIGOS!A:A,CODIGOS!B:B)," ")</f>
        <v>0</v>
      </c>
      <c r="G578" s="9"/>
      <c r="H578" s="36">
        <v>25</v>
      </c>
      <c r="I578" s="34" t="s">
        <v>20</v>
      </c>
      <c r="J578" s="9"/>
    </row>
    <row r="579" spans="1:10">
      <c r="A579" s="39">
        <v>578</v>
      </c>
      <c r="B579" s="33">
        <v>45190</v>
      </c>
      <c r="C579" s="40">
        <v>1836</v>
      </c>
      <c r="D579" s="9" t="s">
        <v>547</v>
      </c>
      <c r="E579" s="34">
        <v>55</v>
      </c>
      <c r="F579" s="35">
        <f>IFERROR(LOOKUP(E579,CODIGOS!A:A,CODIGOS!B:B)," ")</f>
        <v>0</v>
      </c>
      <c r="G579" s="9"/>
      <c r="H579" s="36">
        <v>25</v>
      </c>
      <c r="I579" s="34" t="s">
        <v>11</v>
      </c>
      <c r="J579" s="9"/>
    </row>
    <row r="580" spans="1:10">
      <c r="A580" s="39">
        <v>579</v>
      </c>
      <c r="B580" s="33">
        <v>45190</v>
      </c>
      <c r="C580" s="40">
        <v>1906</v>
      </c>
      <c r="D580" s="9" t="s">
        <v>548</v>
      </c>
      <c r="E580" s="34">
        <v>55</v>
      </c>
      <c r="F580" s="35">
        <f>IFERROR(LOOKUP(E580,CODIGOS!A:A,CODIGOS!B:B)," ")</f>
        <v>0</v>
      </c>
      <c r="G580" s="9"/>
      <c r="H580" s="36">
        <v>25</v>
      </c>
      <c r="I580" s="34" t="s">
        <v>11</v>
      </c>
      <c r="J580" s="9"/>
    </row>
    <row r="581" spans="1:10">
      <c r="A581" s="39">
        <v>580</v>
      </c>
      <c r="B581" s="33">
        <v>45190</v>
      </c>
      <c r="C581" s="40">
        <v>1977</v>
      </c>
      <c r="D581" s="9" t="s">
        <v>549</v>
      </c>
      <c r="E581" s="34">
        <v>55</v>
      </c>
      <c r="F581" s="35">
        <f>IFERROR(LOOKUP(E581,CODIGOS!A:A,CODIGOS!B:B)," ")</f>
        <v>0</v>
      </c>
      <c r="G581" s="9"/>
      <c r="H581" s="36">
        <v>25</v>
      </c>
      <c r="I581" s="34" t="s">
        <v>11</v>
      </c>
      <c r="J581" s="9"/>
    </row>
    <row r="582" spans="1:10">
      <c r="A582" s="39">
        <v>581</v>
      </c>
      <c r="B582" s="33">
        <v>45190</v>
      </c>
      <c r="C582" s="9">
        <v>1680</v>
      </c>
      <c r="D582" s="9" t="s">
        <v>550</v>
      </c>
      <c r="E582" s="34">
        <v>55</v>
      </c>
      <c r="F582" s="35">
        <f>IFERROR(LOOKUP(E582,CODIGOS!A:A,CODIGOS!B:B)," ")</f>
        <v>0</v>
      </c>
      <c r="G582" s="9"/>
      <c r="H582" s="36">
        <v>25</v>
      </c>
      <c r="I582" s="34" t="s">
        <v>11</v>
      </c>
      <c r="J582" s="9"/>
    </row>
    <row r="583" spans="1:10">
      <c r="A583" s="39">
        <v>582</v>
      </c>
      <c r="B583" s="33">
        <v>45190</v>
      </c>
      <c r="C583" s="9">
        <v>2771</v>
      </c>
      <c r="D583" s="9" t="s">
        <v>551</v>
      </c>
      <c r="E583" s="34">
        <v>55</v>
      </c>
      <c r="F583" s="35">
        <f>IFERROR(LOOKUP(E583,CODIGOS!A:A,CODIGOS!B:B)," ")</f>
        <v>0</v>
      </c>
      <c r="G583" s="9"/>
      <c r="H583" s="36">
        <v>25</v>
      </c>
      <c r="I583" s="34" t="s">
        <v>11</v>
      </c>
      <c r="J583" s="9"/>
    </row>
    <row r="584" spans="1:10">
      <c r="A584" s="39">
        <v>583</v>
      </c>
      <c r="B584" s="33">
        <v>45190</v>
      </c>
      <c r="C584" s="9">
        <v>2638</v>
      </c>
      <c r="D584" s="9" t="s">
        <v>552</v>
      </c>
      <c r="E584" s="34">
        <v>55</v>
      </c>
      <c r="F584" s="35">
        <f>IFERROR(LOOKUP(E584,CODIGOS!A:A,CODIGOS!B:B)," ")</f>
        <v>0</v>
      </c>
      <c r="G584" s="9"/>
      <c r="H584" s="36">
        <v>25</v>
      </c>
      <c r="I584" s="34" t="s">
        <v>11</v>
      </c>
      <c r="J584" s="9"/>
    </row>
    <row r="585" spans="1:10">
      <c r="A585" s="39">
        <v>584</v>
      </c>
      <c r="B585" s="33">
        <v>45190</v>
      </c>
      <c r="C585" s="9">
        <v>2199</v>
      </c>
      <c r="D585" s="9" t="s">
        <v>553</v>
      </c>
      <c r="E585" s="34">
        <v>55</v>
      </c>
      <c r="F585" s="35">
        <f>IFERROR(LOOKUP(E585,CODIGOS!A:A,CODIGOS!B:B)," ")</f>
        <v>0</v>
      </c>
      <c r="G585" s="9"/>
      <c r="H585" s="36">
        <v>25</v>
      </c>
      <c r="I585" s="34" t="s">
        <v>11</v>
      </c>
      <c r="J585" s="9"/>
    </row>
    <row r="586" spans="1:10">
      <c r="A586" s="39">
        <v>585</v>
      </c>
      <c r="B586" s="33">
        <v>45190</v>
      </c>
      <c r="C586" s="9">
        <v>1045</v>
      </c>
      <c r="D586" s="9" t="s">
        <v>554</v>
      </c>
      <c r="E586" s="34">
        <v>55</v>
      </c>
      <c r="F586" s="35">
        <f>IFERROR(LOOKUP(E586,CODIGOS!A:A,CODIGOS!B:B)," ")</f>
        <v>0</v>
      </c>
      <c r="G586" s="9"/>
      <c r="H586" s="36">
        <v>25</v>
      </c>
      <c r="I586" s="34" t="s">
        <v>11</v>
      </c>
      <c r="J586" s="9"/>
    </row>
    <row r="587" spans="1:10">
      <c r="A587" s="39">
        <v>586</v>
      </c>
      <c r="B587" s="33">
        <v>45190</v>
      </c>
      <c r="C587" s="9">
        <v>2541</v>
      </c>
      <c r="D587" s="9" t="s">
        <v>555</v>
      </c>
      <c r="E587" s="34">
        <v>55</v>
      </c>
      <c r="F587" s="35">
        <f>IFERROR(LOOKUP(E587,CODIGOS!A:A,CODIGOS!B:B)," ")</f>
        <v>0</v>
      </c>
      <c r="G587" s="9"/>
      <c r="H587" s="36">
        <v>25</v>
      </c>
      <c r="I587" s="34" t="s">
        <v>11</v>
      </c>
      <c r="J587" s="9"/>
    </row>
    <row r="588" spans="1:10">
      <c r="A588" s="39">
        <v>587</v>
      </c>
      <c r="B588" s="33">
        <v>45190</v>
      </c>
      <c r="C588" s="9">
        <v>1396</v>
      </c>
      <c r="D588" s="9" t="s">
        <v>556</v>
      </c>
      <c r="E588" s="34">
        <v>55</v>
      </c>
      <c r="F588" s="35">
        <f>IFERROR(LOOKUP(E588,CODIGOS!A:A,CODIGOS!B:B)," ")</f>
        <v>0</v>
      </c>
      <c r="G588" s="9"/>
      <c r="H588" s="36">
        <v>25</v>
      </c>
      <c r="I588" s="34" t="s">
        <v>11</v>
      </c>
      <c r="J588" s="9"/>
    </row>
    <row r="589" spans="1:10">
      <c r="A589" s="39">
        <v>588</v>
      </c>
      <c r="B589" s="33">
        <v>45190</v>
      </c>
      <c r="C589" s="9">
        <v>2643</v>
      </c>
      <c r="D589" s="9" t="s">
        <v>557</v>
      </c>
      <c r="E589" s="34">
        <v>55</v>
      </c>
      <c r="F589" s="35">
        <f>IFERROR(LOOKUP(E589,CODIGOS!A:A,CODIGOS!B:B)," ")</f>
        <v>0</v>
      </c>
      <c r="G589" s="9"/>
      <c r="H589" s="36">
        <v>25</v>
      </c>
      <c r="I589" s="34" t="s">
        <v>11</v>
      </c>
      <c r="J589" s="9"/>
    </row>
    <row r="590" spans="1:10">
      <c r="A590" s="32">
        <f>IF(B590&lt;&gt;0,A589+1," ")</f>
        <v>589</v>
      </c>
      <c r="B590" s="33">
        <v>45194</v>
      </c>
      <c r="C590" s="40">
        <v>2615</v>
      </c>
      <c r="D590" s="9" t="s">
        <v>558</v>
      </c>
      <c r="E590" s="34">
        <v>55</v>
      </c>
      <c r="F590" s="35">
        <f>IFERROR(LOOKUP(E590,CODIGOS!A:A,CODIGOS!B:B)," ")</f>
        <v>0</v>
      </c>
      <c r="G590" s="9"/>
      <c r="H590" s="36">
        <v>25</v>
      </c>
      <c r="I590" s="34" t="s">
        <v>11</v>
      </c>
      <c r="J590" s="9"/>
    </row>
    <row r="591" spans="1:10">
      <c r="A591" s="32">
        <f t="shared" ref="A591:A654" si="0">IF(B591&lt;&gt;0,A590+1," ")</f>
        <v>590</v>
      </c>
      <c r="B591" s="33">
        <v>45194</v>
      </c>
      <c r="C591" s="40">
        <v>2125</v>
      </c>
      <c r="D591" s="9" t="s">
        <v>559</v>
      </c>
      <c r="E591" s="34">
        <v>55</v>
      </c>
      <c r="F591" s="35">
        <f>IFERROR(LOOKUP(E591,CODIGOS!A:A,CODIGOS!B:B)," ")</f>
        <v>0</v>
      </c>
      <c r="G591" s="9"/>
      <c r="H591" s="36">
        <v>25</v>
      </c>
      <c r="I591" s="34" t="s">
        <v>11</v>
      </c>
      <c r="J591" s="9"/>
    </row>
    <row r="592" spans="1:10">
      <c r="A592" s="32">
        <f t="shared" si="0"/>
        <v>591</v>
      </c>
      <c r="B592" s="33">
        <v>45194</v>
      </c>
      <c r="C592" s="40">
        <v>2562</v>
      </c>
      <c r="D592" s="9" t="s">
        <v>560</v>
      </c>
      <c r="E592" s="34">
        <v>55</v>
      </c>
      <c r="F592" s="35">
        <f>IFERROR(LOOKUP(E592,CODIGOS!A:A,CODIGOS!B:B)," ")</f>
        <v>0</v>
      </c>
      <c r="G592" s="9"/>
      <c r="H592" s="36">
        <v>25</v>
      </c>
      <c r="I592" s="34" t="s">
        <v>11</v>
      </c>
      <c r="J592" s="9"/>
    </row>
    <row r="593" spans="1:10">
      <c r="A593" s="32">
        <f t="shared" si="0"/>
        <v>592</v>
      </c>
      <c r="B593" s="33">
        <v>45194</v>
      </c>
      <c r="C593" s="40">
        <v>2772</v>
      </c>
      <c r="D593" s="9" t="s">
        <v>561</v>
      </c>
      <c r="E593" s="34">
        <v>55</v>
      </c>
      <c r="F593" s="35">
        <f>IFERROR(LOOKUP(E593,CODIGOS!A:A,CODIGOS!B:B)," ")</f>
        <v>0</v>
      </c>
      <c r="G593" s="9"/>
      <c r="H593" s="36">
        <v>25</v>
      </c>
      <c r="I593" s="34" t="s">
        <v>11</v>
      </c>
      <c r="J593" s="9"/>
    </row>
    <row r="594" spans="1:10">
      <c r="A594" s="32">
        <f t="shared" si="0"/>
        <v>593</v>
      </c>
      <c r="B594" s="33">
        <v>45194</v>
      </c>
      <c r="C594" s="40">
        <v>2717</v>
      </c>
      <c r="D594" s="9" t="s">
        <v>67</v>
      </c>
      <c r="E594" s="34">
        <v>55</v>
      </c>
      <c r="F594" s="35">
        <f>IFERROR(LOOKUP(E594,CODIGOS!A:A,CODIGOS!B:B)," ")</f>
        <v>0</v>
      </c>
      <c r="G594" s="9"/>
      <c r="H594" s="36">
        <v>25</v>
      </c>
      <c r="I594" s="34" t="s">
        <v>11</v>
      </c>
      <c r="J594" s="9"/>
    </row>
    <row r="595" spans="1:10">
      <c r="A595" s="32">
        <f t="shared" si="0"/>
        <v>594</v>
      </c>
      <c r="B595" s="33">
        <v>45194</v>
      </c>
      <c r="C595" s="9">
        <v>2718</v>
      </c>
      <c r="D595" s="9" t="s">
        <v>562</v>
      </c>
      <c r="E595" s="34">
        <v>55</v>
      </c>
      <c r="F595" s="35">
        <f>IFERROR(LOOKUP(E595,CODIGOS!A:A,CODIGOS!B:B)," ")</f>
        <v>0</v>
      </c>
      <c r="G595" s="9"/>
      <c r="H595" s="36">
        <v>25</v>
      </c>
      <c r="I595" s="34" t="s">
        <v>11</v>
      </c>
      <c r="J595" s="9"/>
    </row>
    <row r="596" spans="1:10">
      <c r="A596" s="32">
        <f t="shared" si="0"/>
        <v>595</v>
      </c>
      <c r="B596" s="33">
        <v>45194</v>
      </c>
      <c r="C596" s="9">
        <v>2021</v>
      </c>
      <c r="D596" s="9" t="s">
        <v>563</v>
      </c>
      <c r="E596" s="34">
        <v>55</v>
      </c>
      <c r="F596" s="35">
        <f>IFERROR(LOOKUP(E596,CODIGOS!A:A,CODIGOS!B:B)," ")</f>
        <v>0</v>
      </c>
      <c r="G596" s="9"/>
      <c r="H596" s="36">
        <v>25</v>
      </c>
      <c r="I596" s="34" t="s">
        <v>11</v>
      </c>
      <c r="J596" s="9"/>
    </row>
    <row r="597" spans="1:10">
      <c r="A597" s="32">
        <f t="shared" si="0"/>
        <v>596</v>
      </c>
      <c r="B597" s="33">
        <v>45194</v>
      </c>
      <c r="C597" s="9">
        <v>2311</v>
      </c>
      <c r="D597" s="9" t="s">
        <v>564</v>
      </c>
      <c r="E597" s="34">
        <v>55</v>
      </c>
      <c r="F597" s="35">
        <f>IFERROR(LOOKUP(E597,CODIGOS!A:A,CODIGOS!B:B)," ")</f>
        <v>0</v>
      </c>
      <c r="G597" s="9"/>
      <c r="H597" s="36">
        <v>25</v>
      </c>
      <c r="I597" s="34" t="s">
        <v>20</v>
      </c>
      <c r="J597" s="9"/>
    </row>
    <row r="598" spans="1:10">
      <c r="A598" s="32">
        <f t="shared" si="0"/>
        <v>597</v>
      </c>
      <c r="B598" s="33">
        <v>45194</v>
      </c>
      <c r="C598" s="9">
        <v>2773</v>
      </c>
      <c r="D598" s="9" t="s">
        <v>565</v>
      </c>
      <c r="E598" s="34">
        <v>55</v>
      </c>
      <c r="F598" s="35">
        <f>IFERROR(LOOKUP(E598,CODIGOS!A:A,CODIGOS!B:B)," ")</f>
        <v>0</v>
      </c>
      <c r="G598" s="9"/>
      <c r="H598" s="36">
        <v>25</v>
      </c>
      <c r="I598" s="34" t="s">
        <v>11</v>
      </c>
      <c r="J598" s="9"/>
    </row>
    <row r="599" spans="1:10">
      <c r="A599" s="32">
        <f t="shared" si="0"/>
        <v>598</v>
      </c>
      <c r="B599" s="33">
        <v>45194</v>
      </c>
      <c r="C599" s="9">
        <v>2411</v>
      </c>
      <c r="D599" s="9" t="s">
        <v>566</v>
      </c>
      <c r="E599" s="34">
        <v>55</v>
      </c>
      <c r="F599" s="35">
        <f>IFERROR(LOOKUP(E599,CODIGOS!A:A,CODIGOS!B:B)," ")</f>
        <v>0</v>
      </c>
      <c r="G599" s="9"/>
      <c r="H599" s="36">
        <v>25</v>
      </c>
      <c r="I599" s="34" t="s">
        <v>11</v>
      </c>
      <c r="J599" s="9"/>
    </row>
    <row r="600" spans="1:10">
      <c r="A600" s="32">
        <f t="shared" si="0"/>
        <v>599</v>
      </c>
      <c r="B600" s="33">
        <v>45194</v>
      </c>
      <c r="C600" s="9">
        <v>2774</v>
      </c>
      <c r="D600" s="9" t="s">
        <v>567</v>
      </c>
      <c r="E600" s="34">
        <v>55</v>
      </c>
      <c r="F600" s="35">
        <f>IFERROR(LOOKUP(E600,CODIGOS!A:A,CODIGOS!B:B)," ")</f>
        <v>0</v>
      </c>
      <c r="G600" s="9"/>
      <c r="H600" s="36">
        <v>25</v>
      </c>
      <c r="I600" s="34" t="s">
        <v>11</v>
      </c>
      <c r="J600" s="9"/>
    </row>
    <row r="601" spans="1:10">
      <c r="A601" s="32">
        <f t="shared" si="0"/>
        <v>600</v>
      </c>
      <c r="B601" s="33">
        <v>45195</v>
      </c>
      <c r="C601" s="40">
        <v>2300</v>
      </c>
      <c r="D601" s="9" t="s">
        <v>568</v>
      </c>
      <c r="E601" s="34">
        <v>55</v>
      </c>
      <c r="F601" s="35">
        <f>IFERROR(LOOKUP(E601,CODIGOS!A:A,CODIGOS!B:B)," ")</f>
        <v>0</v>
      </c>
      <c r="G601" s="9"/>
      <c r="H601" s="36">
        <v>25</v>
      </c>
      <c r="I601" s="34" t="s">
        <v>115</v>
      </c>
      <c r="J601" s="9"/>
    </row>
    <row r="602" spans="1:10">
      <c r="A602" s="32">
        <f t="shared" si="0"/>
        <v>601</v>
      </c>
      <c r="B602" s="33">
        <v>45195</v>
      </c>
      <c r="C602" s="40">
        <v>2304</v>
      </c>
      <c r="D602" s="9" t="s">
        <v>569</v>
      </c>
      <c r="E602" s="34">
        <v>55</v>
      </c>
      <c r="F602" s="35">
        <f>IFERROR(LOOKUP(E602,CODIGOS!A:A,CODIGOS!B:B)," ")</f>
        <v>0</v>
      </c>
      <c r="G602" s="9"/>
      <c r="H602" s="36">
        <v>25</v>
      </c>
      <c r="I602" s="34" t="s">
        <v>11</v>
      </c>
      <c r="J602" s="9"/>
    </row>
    <row r="603" spans="1:10">
      <c r="A603" s="32">
        <f t="shared" si="0"/>
        <v>602</v>
      </c>
      <c r="B603" s="33">
        <v>45195</v>
      </c>
      <c r="C603" s="40">
        <v>2775</v>
      </c>
      <c r="D603" s="9" t="s">
        <v>570</v>
      </c>
      <c r="E603" s="34">
        <v>55</v>
      </c>
      <c r="F603" s="35">
        <f>IFERROR(LOOKUP(E603,CODIGOS!A:A,CODIGOS!B:B)," ")</f>
        <v>0</v>
      </c>
      <c r="G603" s="9"/>
      <c r="H603" s="36">
        <v>25</v>
      </c>
      <c r="I603" s="34" t="s">
        <v>115</v>
      </c>
      <c r="J603" s="9"/>
    </row>
    <row r="604" spans="1:10">
      <c r="A604" s="32">
        <f t="shared" si="0"/>
        <v>603</v>
      </c>
      <c r="B604" s="33">
        <v>45195</v>
      </c>
      <c r="C604" s="40">
        <v>2776</v>
      </c>
      <c r="D604" s="9" t="s">
        <v>571</v>
      </c>
      <c r="E604" s="34">
        <v>55</v>
      </c>
      <c r="F604" s="35">
        <f>IFERROR(LOOKUP(E604,CODIGOS!A:A,CODIGOS!B:B)," ")</f>
        <v>0</v>
      </c>
      <c r="G604" s="9"/>
      <c r="H604" s="36">
        <v>25</v>
      </c>
      <c r="I604" s="34" t="s">
        <v>115</v>
      </c>
      <c r="J604" s="9"/>
    </row>
    <row r="605" spans="1:10">
      <c r="A605" s="32">
        <f t="shared" si="0"/>
        <v>604</v>
      </c>
      <c r="B605" s="33">
        <v>45195</v>
      </c>
      <c r="C605" s="40">
        <v>2777</v>
      </c>
      <c r="D605" s="9" t="s">
        <v>572</v>
      </c>
      <c r="E605" s="34">
        <v>55</v>
      </c>
      <c r="F605" s="35">
        <f>IFERROR(LOOKUP(E605,CODIGOS!A:A,CODIGOS!B:B)," ")</f>
        <v>0</v>
      </c>
      <c r="G605" s="9"/>
      <c r="H605" s="36">
        <v>25</v>
      </c>
      <c r="I605" s="34" t="s">
        <v>115</v>
      </c>
      <c r="J605" s="9"/>
    </row>
    <row r="606" spans="1:10">
      <c r="A606" s="32">
        <f t="shared" si="0"/>
        <v>605</v>
      </c>
      <c r="B606" s="33">
        <v>45195</v>
      </c>
      <c r="C606" s="9">
        <v>2588</v>
      </c>
      <c r="D606" s="9" t="s">
        <v>573</v>
      </c>
      <c r="E606" s="34">
        <v>55</v>
      </c>
      <c r="F606" s="35">
        <f>IFERROR(LOOKUP(E606,CODIGOS!A:A,CODIGOS!B:B)," ")</f>
        <v>0</v>
      </c>
      <c r="G606" s="9"/>
      <c r="H606" s="36">
        <v>25</v>
      </c>
      <c r="I606" s="34" t="s">
        <v>115</v>
      </c>
      <c r="J606" s="9"/>
    </row>
    <row r="607" spans="1:10">
      <c r="A607" s="32">
        <f t="shared" si="0"/>
        <v>606</v>
      </c>
      <c r="B607" s="33">
        <v>45195</v>
      </c>
      <c r="C607" s="9">
        <v>2444</v>
      </c>
      <c r="D607" s="9" t="s">
        <v>574</v>
      </c>
      <c r="E607" s="34">
        <v>55</v>
      </c>
      <c r="F607" s="35">
        <f>IFERROR(LOOKUP(E607,CODIGOS!A:A,CODIGOS!B:B)," ")</f>
        <v>0</v>
      </c>
      <c r="G607" s="9"/>
      <c r="H607" s="36">
        <v>25</v>
      </c>
      <c r="I607" s="34" t="s">
        <v>115</v>
      </c>
      <c r="J607" s="9"/>
    </row>
    <row r="608" spans="1:10">
      <c r="A608" s="32">
        <f t="shared" si="0"/>
        <v>607</v>
      </c>
      <c r="B608" s="33">
        <v>45195</v>
      </c>
      <c r="C608" s="9">
        <v>2778</v>
      </c>
      <c r="D608" s="9" t="s">
        <v>575</v>
      </c>
      <c r="E608" s="34">
        <v>55</v>
      </c>
      <c r="F608" s="35">
        <f>IFERROR(LOOKUP(E608,CODIGOS!A:A,CODIGOS!B:B)," ")</f>
        <v>0</v>
      </c>
      <c r="G608" s="9"/>
      <c r="H608" s="36">
        <v>25</v>
      </c>
      <c r="I608" s="34" t="s">
        <v>115</v>
      </c>
      <c r="J608" s="9"/>
    </row>
    <row r="609" spans="1:10">
      <c r="A609" s="32">
        <f t="shared" si="0"/>
        <v>608</v>
      </c>
      <c r="B609" s="33">
        <v>45195</v>
      </c>
      <c r="C609" s="9">
        <v>1141</v>
      </c>
      <c r="D609" s="9" t="s">
        <v>576</v>
      </c>
      <c r="E609" s="34">
        <v>55</v>
      </c>
      <c r="F609" s="35">
        <f>IFERROR(LOOKUP(E609,CODIGOS!A:A,CODIGOS!B:B)," ")</f>
        <v>0</v>
      </c>
      <c r="G609" s="9"/>
      <c r="H609" s="36">
        <v>25</v>
      </c>
      <c r="I609" s="34" t="s">
        <v>115</v>
      </c>
      <c r="J609" s="9"/>
    </row>
    <row r="610" spans="1:10">
      <c r="A610" s="32">
        <f t="shared" si="0"/>
        <v>609</v>
      </c>
      <c r="B610" s="33">
        <v>45201</v>
      </c>
      <c r="C610" s="40">
        <v>2084</v>
      </c>
      <c r="D610" s="9" t="s">
        <v>577</v>
      </c>
      <c r="E610" s="34">
        <v>55</v>
      </c>
      <c r="F610" s="35">
        <f>IFERROR(LOOKUP(E610,CODIGOS!A:A,CODIGOS!B:B)," ")</f>
        <v>0</v>
      </c>
      <c r="G610" s="9"/>
      <c r="H610" s="36">
        <v>25</v>
      </c>
      <c r="I610" s="34" t="s">
        <v>11</v>
      </c>
      <c r="J610" s="9"/>
    </row>
    <row r="611" spans="1:10">
      <c r="A611" s="32">
        <f t="shared" si="0"/>
        <v>610</v>
      </c>
      <c r="B611" s="33">
        <v>45201</v>
      </c>
      <c r="C611" s="40">
        <v>2004</v>
      </c>
      <c r="D611" s="9" t="s">
        <v>13</v>
      </c>
      <c r="E611" s="34">
        <v>16</v>
      </c>
      <c r="F611" s="35" t="str">
        <f>IFERROR(LOOKUP(E611,CODIGOS!A:A,CODIGOS!B:B)," ")</f>
        <v>LA CARTUJA</v>
      </c>
      <c r="G611" s="9"/>
      <c r="H611" s="36">
        <v>8</v>
      </c>
      <c r="I611" s="34" t="s">
        <v>11</v>
      </c>
      <c r="J611" s="9"/>
    </row>
    <row r="612" spans="1:10">
      <c r="A612" s="32">
        <f t="shared" si="0"/>
        <v>611</v>
      </c>
      <c r="B612" s="33">
        <v>45201</v>
      </c>
      <c r="C612" s="40">
        <v>2003</v>
      </c>
      <c r="D612" s="9" t="s">
        <v>10</v>
      </c>
      <c r="E612" s="34">
        <v>16</v>
      </c>
      <c r="F612" s="35" t="str">
        <f>IFERROR(LOOKUP(E612,CODIGOS!A:A,CODIGOS!B:B)," ")</f>
        <v>LA CARTUJA</v>
      </c>
      <c r="G612" s="9"/>
      <c r="H612" s="36">
        <v>8</v>
      </c>
      <c r="I612" s="34" t="s">
        <v>11</v>
      </c>
      <c r="J612" s="9"/>
    </row>
    <row r="613" spans="1:10">
      <c r="A613" s="32">
        <f t="shared" si="0"/>
        <v>612</v>
      </c>
      <c r="B613" s="33">
        <v>45201</v>
      </c>
      <c r="C613" s="40">
        <v>1913</v>
      </c>
      <c r="D613" s="9" t="s">
        <v>62</v>
      </c>
      <c r="E613" s="34">
        <v>16</v>
      </c>
      <c r="F613" s="35" t="str">
        <f>IFERROR(LOOKUP(E613,CODIGOS!A:A,CODIGOS!B:B)," ")</f>
        <v>LA CARTUJA</v>
      </c>
      <c r="G613" s="9"/>
      <c r="H613" s="36">
        <v>8</v>
      </c>
      <c r="I613" s="34" t="s">
        <v>11</v>
      </c>
      <c r="J613" s="9"/>
    </row>
    <row r="614" spans="1:10">
      <c r="A614" s="32">
        <f t="shared" si="0"/>
        <v>613</v>
      </c>
      <c r="B614" s="33">
        <v>45201</v>
      </c>
      <c r="C614" s="40">
        <v>1913</v>
      </c>
      <c r="D614" s="9" t="s">
        <v>578</v>
      </c>
      <c r="E614" s="34">
        <v>55</v>
      </c>
      <c r="F614" s="35">
        <f>IFERROR(LOOKUP(E614,CODIGOS!A:A,CODIGOS!B:B)," ")</f>
        <v>0</v>
      </c>
      <c r="G614" s="9"/>
      <c r="H614" s="36">
        <v>25</v>
      </c>
      <c r="I614" s="34" t="s">
        <v>11</v>
      </c>
      <c r="J614" s="9"/>
    </row>
    <row r="615" spans="1:10">
      <c r="A615" s="32">
        <f t="shared" si="0"/>
        <v>614</v>
      </c>
      <c r="B615" s="33">
        <v>45201</v>
      </c>
      <c r="C615" s="9">
        <v>738</v>
      </c>
      <c r="D615" s="9" t="s">
        <v>63</v>
      </c>
      <c r="E615" s="34">
        <v>55</v>
      </c>
      <c r="F615" s="35">
        <f>IFERROR(LOOKUP(E615,CODIGOS!A:A,CODIGOS!B:B)," ")</f>
        <v>0</v>
      </c>
      <c r="G615" s="9"/>
      <c r="H615" s="36">
        <v>25</v>
      </c>
      <c r="I615" s="34" t="s">
        <v>11</v>
      </c>
      <c r="J615" s="9"/>
    </row>
    <row r="616" spans="1:10">
      <c r="A616" s="32">
        <f t="shared" si="0"/>
        <v>615</v>
      </c>
      <c r="B616" s="33">
        <v>45201</v>
      </c>
      <c r="C616" s="9">
        <v>1913</v>
      </c>
      <c r="D616" s="9" t="s">
        <v>62</v>
      </c>
      <c r="E616" s="34">
        <v>16</v>
      </c>
      <c r="F616" s="35" t="str">
        <f>IFERROR(LOOKUP(E616,CODIGOS!A:A,CODIGOS!B:B)," ")</f>
        <v>LA CARTUJA</v>
      </c>
      <c r="G616" s="9"/>
      <c r="H616" s="36">
        <v>-8</v>
      </c>
      <c r="I616" s="34" t="s">
        <v>11</v>
      </c>
      <c r="J616" s="9"/>
    </row>
    <row r="617" spans="1:10">
      <c r="A617" s="32">
        <f t="shared" si="0"/>
        <v>616</v>
      </c>
      <c r="B617" s="33">
        <v>45201</v>
      </c>
      <c r="C617" s="9">
        <v>2631</v>
      </c>
      <c r="D617" s="9" t="s">
        <v>579</v>
      </c>
      <c r="E617" s="34">
        <v>55</v>
      </c>
      <c r="F617" s="35">
        <f>IFERROR(LOOKUP(E617,CODIGOS!A:A,CODIGOS!B:B)," ")</f>
        <v>0</v>
      </c>
      <c r="G617" s="9"/>
      <c r="H617" s="36">
        <v>25</v>
      </c>
      <c r="I617" s="34" t="s">
        <v>11</v>
      </c>
      <c r="J617" s="9"/>
    </row>
    <row r="618" spans="1:10">
      <c r="A618" s="32">
        <f t="shared" si="0"/>
        <v>617</v>
      </c>
      <c r="B618" s="33">
        <v>45201</v>
      </c>
      <c r="C618" s="9">
        <v>1623</v>
      </c>
      <c r="D618" s="9" t="s">
        <v>580</v>
      </c>
      <c r="E618" s="34">
        <v>55</v>
      </c>
      <c r="F618" s="35">
        <f>IFERROR(LOOKUP(E618,CODIGOS!A:A,CODIGOS!B:B)," ")</f>
        <v>0</v>
      </c>
      <c r="G618" s="9"/>
      <c r="H618" s="36">
        <v>25</v>
      </c>
      <c r="I618" s="34" t="s">
        <v>11</v>
      </c>
      <c r="J618" s="9"/>
    </row>
    <row r="619" spans="1:10">
      <c r="A619" s="32">
        <f t="shared" si="0"/>
        <v>618</v>
      </c>
      <c r="B619" s="33">
        <v>45201</v>
      </c>
      <c r="C619" s="9">
        <v>1623</v>
      </c>
      <c r="D619" s="9" t="s">
        <v>580</v>
      </c>
      <c r="E619" s="34">
        <v>16</v>
      </c>
      <c r="F619" s="35" t="str">
        <f>IFERROR(LOOKUP(E619,CODIGOS!A:A,CODIGOS!B:B)," ")</f>
        <v>LA CARTUJA</v>
      </c>
      <c r="G619" s="9"/>
      <c r="H619" s="36">
        <v>8</v>
      </c>
      <c r="I619" s="34" t="s">
        <v>11</v>
      </c>
      <c r="J619" s="9"/>
    </row>
    <row r="620" spans="1:10">
      <c r="A620" s="32">
        <f t="shared" si="0"/>
        <v>619</v>
      </c>
      <c r="B620" s="33">
        <v>45201</v>
      </c>
      <c r="C620" s="9" t="s">
        <v>581</v>
      </c>
      <c r="D620" s="9" t="s">
        <v>87</v>
      </c>
      <c r="E620" s="34">
        <v>16</v>
      </c>
      <c r="F620" s="35" t="str">
        <f>IFERROR(LOOKUP(E620,CODIGOS!A:A,CODIGOS!B:B)," ")</f>
        <v>LA CARTUJA</v>
      </c>
      <c r="G620" s="9"/>
      <c r="H620" s="36">
        <v>12</v>
      </c>
      <c r="I620" s="34"/>
      <c r="J620" s="9"/>
    </row>
    <row r="621" spans="1:10">
      <c r="A621" s="32">
        <f t="shared" si="0"/>
        <v>620</v>
      </c>
      <c r="B621" s="33">
        <v>45201</v>
      </c>
      <c r="C621" s="9">
        <v>2667</v>
      </c>
      <c r="D621" s="9" t="s">
        <v>582</v>
      </c>
      <c r="E621" s="34">
        <v>16</v>
      </c>
      <c r="F621" s="35" t="str">
        <f>IFERROR(LOOKUP(E621,CODIGOS!A:A,CODIGOS!B:B)," ")</f>
        <v>LA CARTUJA</v>
      </c>
      <c r="G621" s="9"/>
      <c r="H621" s="36">
        <v>8</v>
      </c>
      <c r="I621" s="34" t="s">
        <v>20</v>
      </c>
      <c r="J621" s="9"/>
    </row>
    <row r="622" spans="1:10">
      <c r="A622" s="32">
        <f t="shared" si="0"/>
        <v>621</v>
      </c>
      <c r="B622" s="33">
        <v>45201</v>
      </c>
      <c r="C622" s="9">
        <v>2614</v>
      </c>
      <c r="D622" s="9" t="s">
        <v>583</v>
      </c>
      <c r="E622" s="34">
        <v>16</v>
      </c>
      <c r="F622" s="35" t="str">
        <f>IFERROR(LOOKUP(E622,CODIGOS!A:A,CODIGOS!B:B)," ")</f>
        <v>LA CARTUJA</v>
      </c>
      <c r="G622" s="9"/>
      <c r="H622" s="36">
        <v>8</v>
      </c>
      <c r="I622" s="34" t="s">
        <v>11</v>
      </c>
      <c r="J622" s="9"/>
    </row>
    <row r="623" spans="1:10">
      <c r="A623" s="32">
        <f t="shared" si="0"/>
        <v>622</v>
      </c>
      <c r="B623" s="33">
        <v>45201</v>
      </c>
      <c r="C623" s="9">
        <v>2527</v>
      </c>
      <c r="D623" s="9" t="s">
        <v>199</v>
      </c>
      <c r="E623" s="34">
        <v>16</v>
      </c>
      <c r="F623" s="35" t="str">
        <f>IFERROR(LOOKUP(E623,CODIGOS!A:A,CODIGOS!B:B)," ")</f>
        <v>LA CARTUJA</v>
      </c>
      <c r="G623" s="9"/>
      <c r="H623" s="36">
        <v>8</v>
      </c>
      <c r="I623" s="34" t="s">
        <v>11</v>
      </c>
      <c r="J623" s="9"/>
    </row>
    <row r="624" spans="1:10">
      <c r="A624" s="32">
        <f t="shared" si="0"/>
        <v>623</v>
      </c>
      <c r="B624" s="33">
        <v>45201</v>
      </c>
      <c r="C624" s="9">
        <v>2612</v>
      </c>
      <c r="D624" s="9" t="s">
        <v>61</v>
      </c>
      <c r="E624" s="34">
        <v>16</v>
      </c>
      <c r="F624" s="35" t="str">
        <f>IFERROR(LOOKUP(E624,CODIGOS!A:A,CODIGOS!B:B)," ")</f>
        <v>LA CARTUJA</v>
      </c>
      <c r="G624" s="9"/>
      <c r="H624" s="36">
        <v>8</v>
      </c>
      <c r="I624" s="34" t="s">
        <v>11</v>
      </c>
      <c r="J624" s="9"/>
    </row>
    <row r="625" spans="1:10">
      <c r="A625" s="32">
        <f t="shared" si="0"/>
        <v>624</v>
      </c>
      <c r="B625" s="33">
        <v>45201</v>
      </c>
      <c r="C625" s="9">
        <v>2407</v>
      </c>
      <c r="D625" s="9" t="s">
        <v>584</v>
      </c>
      <c r="E625" s="34">
        <v>55</v>
      </c>
      <c r="F625" s="35">
        <f>IFERROR(LOOKUP(E625,CODIGOS!A:A,CODIGOS!B:B)," ")</f>
        <v>0</v>
      </c>
      <c r="G625" s="9"/>
      <c r="H625" s="36">
        <v>25</v>
      </c>
      <c r="I625" s="34" t="s">
        <v>11</v>
      </c>
      <c r="J625" s="9"/>
    </row>
    <row r="626" spans="1:10">
      <c r="A626" s="32">
        <f t="shared" si="0"/>
        <v>625</v>
      </c>
      <c r="B626" s="33">
        <v>45201</v>
      </c>
      <c r="C626" s="9">
        <v>2655</v>
      </c>
      <c r="D626" s="9" t="s">
        <v>456</v>
      </c>
      <c r="E626" s="34">
        <v>16</v>
      </c>
      <c r="F626" s="35" t="str">
        <f>IFERROR(LOOKUP(E626,CODIGOS!A:A,CODIGOS!B:B)," ")</f>
        <v>LA CARTUJA</v>
      </c>
      <c r="G626" s="9"/>
      <c r="H626" s="42">
        <v>8</v>
      </c>
      <c r="I626" s="34" t="s">
        <v>11</v>
      </c>
      <c r="J626" s="9"/>
    </row>
    <row r="627" spans="1:10">
      <c r="A627" s="32">
        <f t="shared" si="0"/>
        <v>626</v>
      </c>
      <c r="B627" s="33">
        <v>45201</v>
      </c>
      <c r="C627" s="9" t="s">
        <v>585</v>
      </c>
      <c r="D627" s="9" t="s">
        <v>586</v>
      </c>
      <c r="E627" s="34">
        <v>16</v>
      </c>
      <c r="F627" s="35" t="str">
        <f>IFERROR(LOOKUP(E627,CODIGOS!A:A,CODIGOS!B:B)," ")</f>
        <v>LA CARTUJA</v>
      </c>
      <c r="G627" s="9"/>
      <c r="H627" s="42">
        <v>12</v>
      </c>
      <c r="I627" s="34"/>
      <c r="J627" s="9"/>
    </row>
    <row r="628" spans="1:10">
      <c r="A628" s="32">
        <f t="shared" si="0"/>
        <v>627</v>
      </c>
      <c r="B628" s="33">
        <v>45201</v>
      </c>
      <c r="C628" s="9">
        <v>2658</v>
      </c>
      <c r="D628" s="9" t="s">
        <v>587</v>
      </c>
      <c r="E628" s="34">
        <v>16</v>
      </c>
      <c r="F628" s="35" t="str">
        <f>IFERROR(LOOKUP(E628,CODIGOS!A:A,CODIGOS!B:B)," ")</f>
        <v>LA CARTUJA</v>
      </c>
      <c r="G628" s="9"/>
      <c r="H628" s="36">
        <v>8</v>
      </c>
      <c r="I628" s="34" t="s">
        <v>11</v>
      </c>
      <c r="J628" s="9"/>
    </row>
    <row r="629" spans="1:10">
      <c r="A629" s="32">
        <f t="shared" si="0"/>
        <v>628</v>
      </c>
      <c r="B629" s="33">
        <v>45201</v>
      </c>
      <c r="C629" s="9" t="s">
        <v>588</v>
      </c>
      <c r="D629" s="9" t="s">
        <v>589</v>
      </c>
      <c r="E629" s="34">
        <v>16</v>
      </c>
      <c r="F629" s="35" t="str">
        <f>IFERROR(LOOKUP(E629,CODIGOS!A:A,CODIGOS!B:B)," ")</f>
        <v>LA CARTUJA</v>
      </c>
      <c r="G629" s="9"/>
      <c r="H629" s="36">
        <v>12</v>
      </c>
      <c r="I629" s="34"/>
      <c r="J629" s="9"/>
    </row>
    <row r="630" spans="1:10">
      <c r="A630" s="32">
        <f t="shared" si="0"/>
        <v>629</v>
      </c>
      <c r="B630" s="33">
        <v>45201</v>
      </c>
      <c r="C630" s="9">
        <v>2684</v>
      </c>
      <c r="D630" s="9" t="s">
        <v>590</v>
      </c>
      <c r="E630" s="34">
        <v>55</v>
      </c>
      <c r="F630" s="35">
        <f>IFERROR(LOOKUP(E630,CODIGOS!A:A,CODIGOS!B:B)," ")</f>
        <v>0</v>
      </c>
      <c r="G630" s="9"/>
      <c r="H630" s="36">
        <v>25</v>
      </c>
      <c r="I630" s="34" t="s">
        <v>11</v>
      </c>
      <c r="J630" s="9"/>
    </row>
    <row r="631" spans="1:10">
      <c r="A631" s="32">
        <f t="shared" si="0"/>
        <v>630</v>
      </c>
      <c r="B631" s="33">
        <v>45201</v>
      </c>
      <c r="C631" s="9">
        <v>1944</v>
      </c>
      <c r="D631" s="9" t="s">
        <v>160</v>
      </c>
      <c r="E631" s="34">
        <v>16</v>
      </c>
      <c r="F631" s="35" t="str">
        <f>IFERROR(LOOKUP(E631,CODIGOS!A:A,CODIGOS!B:B)," ")</f>
        <v>LA CARTUJA</v>
      </c>
      <c r="G631" s="9"/>
      <c r="H631" s="36">
        <v>8</v>
      </c>
      <c r="I631" s="34" t="s">
        <v>11</v>
      </c>
      <c r="J631" s="9"/>
    </row>
    <row r="632" spans="1:10">
      <c r="A632" s="32">
        <f t="shared" si="0"/>
        <v>631</v>
      </c>
      <c r="B632" s="33">
        <v>45201</v>
      </c>
      <c r="C632" s="9">
        <v>2770</v>
      </c>
      <c r="D632" s="9" t="s">
        <v>591</v>
      </c>
      <c r="E632" s="34">
        <v>16</v>
      </c>
      <c r="F632" s="35" t="str">
        <f>IFERROR(LOOKUP(E632,CODIGOS!A:A,CODIGOS!B:B)," ")</f>
        <v>LA CARTUJA</v>
      </c>
      <c r="G632" s="9"/>
      <c r="H632" s="36">
        <v>8</v>
      </c>
      <c r="I632" s="34" t="s">
        <v>20</v>
      </c>
      <c r="J632" s="9"/>
    </row>
    <row r="633" spans="1:10">
      <c r="A633" s="32">
        <f t="shared" si="0"/>
        <v>632</v>
      </c>
      <c r="B633" s="33">
        <v>45201</v>
      </c>
      <c r="C633" s="9">
        <v>2497</v>
      </c>
      <c r="D633" s="9" t="s">
        <v>592</v>
      </c>
      <c r="E633" s="34">
        <v>16</v>
      </c>
      <c r="F633" s="35" t="str">
        <f>IFERROR(LOOKUP(E633,CODIGOS!A:A,CODIGOS!B:B)," ")</f>
        <v>LA CARTUJA</v>
      </c>
      <c r="G633" s="9"/>
      <c r="H633" s="36">
        <v>8</v>
      </c>
      <c r="I633" s="34" t="s">
        <v>11</v>
      </c>
      <c r="J633" s="9"/>
    </row>
    <row r="634" spans="1:10">
      <c r="A634" s="32">
        <f t="shared" si="0"/>
        <v>633</v>
      </c>
      <c r="B634" s="33">
        <v>45201</v>
      </c>
      <c r="C634" s="9" t="s">
        <v>150</v>
      </c>
      <c r="D634" s="9" t="s">
        <v>593</v>
      </c>
      <c r="E634" s="34">
        <v>16</v>
      </c>
      <c r="F634" s="35" t="str">
        <f>IFERROR(LOOKUP(E634,CODIGOS!A:A,CODIGOS!B:B)," ")</f>
        <v>LA CARTUJA</v>
      </c>
      <c r="G634" s="9"/>
      <c r="H634" s="36">
        <v>12</v>
      </c>
      <c r="I634" s="34"/>
      <c r="J634" s="9"/>
    </row>
    <row r="635" spans="1:10">
      <c r="A635" s="32">
        <f t="shared" si="0"/>
        <v>634</v>
      </c>
      <c r="B635" s="33">
        <v>45201</v>
      </c>
      <c r="C635" s="9">
        <v>2729</v>
      </c>
      <c r="D635" s="9" t="s">
        <v>33</v>
      </c>
      <c r="E635" s="34">
        <v>16</v>
      </c>
      <c r="F635" s="35" t="str">
        <f>IFERROR(LOOKUP(E635,CODIGOS!A:A,CODIGOS!B:B)," ")</f>
        <v>LA CARTUJA</v>
      </c>
      <c r="G635" s="9"/>
      <c r="H635" s="36">
        <v>8</v>
      </c>
      <c r="I635" s="34" t="s">
        <v>11</v>
      </c>
      <c r="J635" s="9"/>
    </row>
    <row r="636" spans="1:10">
      <c r="A636" s="32">
        <f t="shared" si="0"/>
        <v>635</v>
      </c>
      <c r="B636" s="33">
        <v>45201</v>
      </c>
      <c r="C636" s="9" t="s">
        <v>594</v>
      </c>
      <c r="D636" s="9" t="s">
        <v>595</v>
      </c>
      <c r="E636" s="34">
        <v>16</v>
      </c>
      <c r="F636" s="35" t="str">
        <f>IFERROR(LOOKUP(E636,CODIGOS!A:A,CODIGOS!B:B)," ")</f>
        <v>LA CARTUJA</v>
      </c>
      <c r="G636" s="9"/>
      <c r="H636" s="36">
        <v>12</v>
      </c>
      <c r="I636" s="34"/>
      <c r="J636" s="9"/>
    </row>
    <row r="637" spans="1:10">
      <c r="A637" s="32">
        <f t="shared" si="0"/>
        <v>636</v>
      </c>
      <c r="B637" s="33">
        <v>45201</v>
      </c>
      <c r="C637" s="9">
        <v>2173</v>
      </c>
      <c r="D637" s="9" t="s">
        <v>596</v>
      </c>
      <c r="E637" s="34">
        <v>16</v>
      </c>
      <c r="F637" s="35" t="str">
        <f>IFERROR(LOOKUP(E637,CODIGOS!A:A,CODIGOS!B:B)," ")</f>
        <v>LA CARTUJA</v>
      </c>
      <c r="G637" s="9"/>
      <c r="H637" s="36">
        <v>8</v>
      </c>
      <c r="I637" s="34"/>
      <c r="J637" s="9"/>
    </row>
    <row r="638" spans="1:10">
      <c r="A638" s="32">
        <f t="shared" si="0"/>
        <v>637</v>
      </c>
      <c r="B638" s="33">
        <v>45201</v>
      </c>
      <c r="C638" s="9">
        <v>2490</v>
      </c>
      <c r="D638" s="9" t="s">
        <v>597</v>
      </c>
      <c r="E638" s="34">
        <v>16</v>
      </c>
      <c r="F638" s="35" t="str">
        <f>IFERROR(LOOKUP(E638,CODIGOS!A:A,CODIGOS!B:B)," ")</f>
        <v>LA CARTUJA</v>
      </c>
      <c r="G638" s="9"/>
      <c r="H638" s="36">
        <v>8</v>
      </c>
      <c r="I638" s="34"/>
      <c r="J638" s="9"/>
    </row>
    <row r="639" spans="1:10">
      <c r="A639" s="32">
        <f t="shared" si="0"/>
        <v>638</v>
      </c>
      <c r="B639" s="33">
        <v>45201</v>
      </c>
      <c r="C639" s="9">
        <v>2779</v>
      </c>
      <c r="D639" s="9" t="s">
        <v>598</v>
      </c>
      <c r="E639" s="34">
        <v>55</v>
      </c>
      <c r="F639" s="35">
        <f>IFERROR(LOOKUP(E639,CODIGOS!A:A,CODIGOS!B:B)," ")</f>
        <v>0</v>
      </c>
      <c r="G639" s="9"/>
      <c r="H639" s="36">
        <v>25</v>
      </c>
      <c r="I639" s="34" t="s">
        <v>11</v>
      </c>
      <c r="J639" s="9"/>
    </row>
    <row r="640" spans="1:10">
      <c r="A640" s="32">
        <f t="shared" si="0"/>
        <v>639</v>
      </c>
      <c r="B640" s="33">
        <v>45201</v>
      </c>
      <c r="C640" s="9">
        <v>2624</v>
      </c>
      <c r="D640" s="9" t="s">
        <v>599</v>
      </c>
      <c r="E640" s="34">
        <v>55</v>
      </c>
      <c r="F640" s="35">
        <f>IFERROR(LOOKUP(E640,CODIGOS!A:A,CODIGOS!B:B)," ")</f>
        <v>0</v>
      </c>
      <c r="G640" s="9"/>
      <c r="H640" s="36">
        <v>25</v>
      </c>
      <c r="I640" s="34" t="s">
        <v>11</v>
      </c>
      <c r="J640" s="9"/>
    </row>
    <row r="641" spans="1:10">
      <c r="A641" s="32">
        <f t="shared" si="0"/>
        <v>640</v>
      </c>
      <c r="B641" s="33">
        <v>45201</v>
      </c>
      <c r="C641" s="9">
        <v>2308</v>
      </c>
      <c r="D641" s="9" t="s">
        <v>600</v>
      </c>
      <c r="E641" s="34">
        <v>55</v>
      </c>
      <c r="F641" s="35">
        <f>IFERROR(LOOKUP(E641,CODIGOS!A:A,CODIGOS!B:B)," ")</f>
        <v>0</v>
      </c>
      <c r="G641" s="9"/>
      <c r="H641" s="36">
        <v>25</v>
      </c>
      <c r="I641" s="34" t="s">
        <v>11</v>
      </c>
      <c r="J641" s="9"/>
    </row>
    <row r="642" spans="1:10">
      <c r="A642" s="32">
        <f t="shared" si="0"/>
        <v>641</v>
      </c>
      <c r="B642" s="33">
        <v>45201</v>
      </c>
      <c r="C642" s="9">
        <v>2563</v>
      </c>
      <c r="D642" s="9" t="s">
        <v>601</v>
      </c>
      <c r="E642" s="34">
        <v>55</v>
      </c>
      <c r="F642" s="35">
        <f>IFERROR(LOOKUP(E642,CODIGOS!A:A,CODIGOS!B:B)," ")</f>
        <v>0</v>
      </c>
      <c r="G642" s="9"/>
      <c r="H642" s="36">
        <v>25</v>
      </c>
      <c r="I642" s="34" t="s">
        <v>11</v>
      </c>
      <c r="J642" s="9"/>
    </row>
    <row r="643" spans="1:10">
      <c r="A643" s="32">
        <f t="shared" si="0"/>
        <v>642</v>
      </c>
      <c r="B643" s="33">
        <v>45201</v>
      </c>
      <c r="C643" s="9">
        <v>1045</v>
      </c>
      <c r="D643" s="9" t="s">
        <v>602</v>
      </c>
      <c r="E643" s="34">
        <v>16</v>
      </c>
      <c r="F643" s="35" t="str">
        <f>IFERROR(LOOKUP(E643,CODIGOS!A:A,CODIGOS!B:B)," ")</f>
        <v>LA CARTUJA</v>
      </c>
      <c r="G643" s="9"/>
      <c r="H643" s="36">
        <v>8</v>
      </c>
      <c r="I643" s="34"/>
      <c r="J643" s="9"/>
    </row>
    <row r="644" spans="1:10">
      <c r="A644" s="32">
        <f t="shared" si="0"/>
        <v>643</v>
      </c>
      <c r="B644" s="33">
        <v>45201</v>
      </c>
      <c r="C644" s="9">
        <v>2489</v>
      </c>
      <c r="D644" s="9" t="s">
        <v>29</v>
      </c>
      <c r="E644" s="34">
        <v>16</v>
      </c>
      <c r="F644" s="35" t="str">
        <f>IFERROR(LOOKUP(E644,CODIGOS!A:A,CODIGOS!B:B)," ")</f>
        <v>LA CARTUJA</v>
      </c>
      <c r="G644" s="9"/>
      <c r="H644" s="123">
        <v>14</v>
      </c>
      <c r="I644" s="34"/>
      <c r="J644" s="9"/>
    </row>
    <row r="645" spans="1:10">
      <c r="A645" s="32">
        <f t="shared" si="0"/>
        <v>644</v>
      </c>
      <c r="B645" s="33">
        <v>45201</v>
      </c>
      <c r="C645" s="9">
        <v>2489</v>
      </c>
      <c r="D645" s="9" t="s">
        <v>29</v>
      </c>
      <c r="E645" s="34">
        <v>18</v>
      </c>
      <c r="F645" s="35" t="str">
        <f>IFERROR(LOOKUP(E645,CODIGOS!A:A,CODIGOS!B:B)," ")</f>
        <v>COMIDA DE PATRONA</v>
      </c>
      <c r="G645" s="9"/>
      <c r="H645" s="123"/>
      <c r="I645" s="34"/>
      <c r="J645" s="9"/>
    </row>
    <row r="646" spans="1:10">
      <c r="A646" s="32">
        <f t="shared" si="0"/>
        <v>645</v>
      </c>
      <c r="B646" s="33">
        <v>45201</v>
      </c>
      <c r="C646" s="9">
        <v>1920</v>
      </c>
      <c r="D646" s="9" t="s">
        <v>603</v>
      </c>
      <c r="E646" s="34">
        <v>55</v>
      </c>
      <c r="F646" s="35">
        <f>IFERROR(LOOKUP(E646,CODIGOS!A:A,CODIGOS!B:B)," ")</f>
        <v>0</v>
      </c>
      <c r="G646" s="9"/>
      <c r="H646" s="36">
        <v>25</v>
      </c>
      <c r="I646" s="34" t="s">
        <v>11</v>
      </c>
      <c r="J646" s="9"/>
    </row>
    <row r="647" spans="1:10">
      <c r="A647" s="32">
        <f t="shared" si="0"/>
        <v>646</v>
      </c>
      <c r="B647" s="33">
        <v>45201</v>
      </c>
      <c r="C647" s="9">
        <v>2084</v>
      </c>
      <c r="D647" s="9" t="s">
        <v>577</v>
      </c>
      <c r="E647" s="34">
        <v>16</v>
      </c>
      <c r="F647" s="35" t="str">
        <f>IFERROR(LOOKUP(E647,CODIGOS!A:A,CODIGOS!B:B)," ")</f>
        <v>LA CARTUJA</v>
      </c>
      <c r="G647" s="9"/>
      <c r="H647" s="36">
        <v>8</v>
      </c>
      <c r="I647" s="34"/>
      <c r="J647" s="9"/>
    </row>
    <row r="648" spans="1:10">
      <c r="A648" s="32">
        <f t="shared" si="0"/>
        <v>647</v>
      </c>
      <c r="B648" s="33">
        <v>45202</v>
      </c>
      <c r="C648" s="40">
        <v>2789</v>
      </c>
      <c r="D648" s="9" t="s">
        <v>604</v>
      </c>
      <c r="E648" s="34">
        <v>55</v>
      </c>
      <c r="F648" s="35">
        <f>IFERROR(LOOKUP(E648,CODIGOS!A:A,CODIGOS!B:B)," ")</f>
        <v>0</v>
      </c>
      <c r="G648" s="9"/>
      <c r="H648" s="36">
        <v>25</v>
      </c>
      <c r="I648" s="34" t="s">
        <v>115</v>
      </c>
      <c r="J648" s="9"/>
    </row>
    <row r="649" spans="1:10">
      <c r="A649" s="32">
        <f t="shared" si="0"/>
        <v>648</v>
      </c>
      <c r="B649" s="33">
        <v>45202</v>
      </c>
      <c r="C649" s="40">
        <v>2610</v>
      </c>
      <c r="D649" s="9" t="s">
        <v>605</v>
      </c>
      <c r="E649" s="34">
        <v>16</v>
      </c>
      <c r="F649" s="35" t="str">
        <f>IFERROR(LOOKUP(E649,CODIGOS!A:A,CODIGOS!B:B)," ")</f>
        <v>LA CARTUJA</v>
      </c>
      <c r="G649" s="9"/>
      <c r="H649" s="36">
        <v>14</v>
      </c>
      <c r="I649" s="34"/>
      <c r="J649" s="9"/>
    </row>
    <row r="650" spans="1:10">
      <c r="A650" s="32">
        <f t="shared" si="0"/>
        <v>649</v>
      </c>
      <c r="B650" s="33">
        <v>45202</v>
      </c>
      <c r="C650" s="40" t="s">
        <v>606</v>
      </c>
      <c r="D650" s="9" t="s">
        <v>607</v>
      </c>
      <c r="E650" s="34">
        <v>16</v>
      </c>
      <c r="F650" s="35" t="str">
        <f>IFERROR(LOOKUP(E650,CODIGOS!A:A,CODIGOS!B:B)," ")</f>
        <v>LA CARTUJA</v>
      </c>
      <c r="G650" s="9"/>
      <c r="H650" s="36">
        <v>18</v>
      </c>
      <c r="I650" s="34"/>
      <c r="J650" s="9"/>
    </row>
    <row r="651" spans="1:10">
      <c r="A651" s="32">
        <f t="shared" si="0"/>
        <v>650</v>
      </c>
      <c r="B651" s="33">
        <v>45202</v>
      </c>
      <c r="C651" s="40">
        <v>2138</v>
      </c>
      <c r="D651" s="9" t="s">
        <v>608</v>
      </c>
      <c r="E651" s="34">
        <v>55</v>
      </c>
      <c r="F651" s="35">
        <f>IFERROR(LOOKUP(E651,CODIGOS!A:A,CODIGOS!B:B)," ")</f>
        <v>0</v>
      </c>
      <c r="G651" s="9"/>
      <c r="H651" s="36">
        <v>25</v>
      </c>
      <c r="I651" s="34" t="s">
        <v>115</v>
      </c>
      <c r="J651" s="9"/>
    </row>
    <row r="652" spans="1:10">
      <c r="A652" s="32">
        <f t="shared" si="0"/>
        <v>651</v>
      </c>
      <c r="B652" s="33">
        <v>45202</v>
      </c>
      <c r="C652" s="40">
        <v>2622</v>
      </c>
      <c r="D652" s="9" t="s">
        <v>609</v>
      </c>
      <c r="E652" s="34">
        <v>55</v>
      </c>
      <c r="F652" s="35">
        <f>IFERROR(LOOKUP(E652,CODIGOS!A:A,CODIGOS!B:B)," ")</f>
        <v>0</v>
      </c>
      <c r="G652" s="9"/>
      <c r="H652" s="36">
        <v>25</v>
      </c>
      <c r="I652" s="34" t="s">
        <v>115</v>
      </c>
      <c r="J652" s="9"/>
    </row>
    <row r="653" spans="1:10">
      <c r="A653" s="32">
        <f t="shared" si="0"/>
        <v>652</v>
      </c>
      <c r="B653" s="33">
        <v>45202</v>
      </c>
      <c r="C653" s="9">
        <v>2561</v>
      </c>
      <c r="D653" s="9" t="s">
        <v>610</v>
      </c>
      <c r="E653" s="34">
        <v>55</v>
      </c>
      <c r="F653" s="35">
        <f>IFERROR(LOOKUP(E653,CODIGOS!A:A,CODIGOS!B:B)," ")</f>
        <v>0</v>
      </c>
      <c r="G653" s="9"/>
      <c r="H653" s="36">
        <v>25</v>
      </c>
      <c r="I653" s="34" t="s">
        <v>20</v>
      </c>
      <c r="J653" s="9"/>
    </row>
    <row r="654" spans="1:10">
      <c r="A654" s="32">
        <f t="shared" si="0"/>
        <v>653</v>
      </c>
      <c r="B654" s="33">
        <v>45202</v>
      </c>
      <c r="C654" s="9">
        <v>2790</v>
      </c>
      <c r="D654" s="9" t="s">
        <v>611</v>
      </c>
      <c r="E654" s="34">
        <v>55</v>
      </c>
      <c r="F654" s="35">
        <f>IFERROR(LOOKUP(E654,CODIGOS!A:A,CODIGOS!B:B)," ")</f>
        <v>0</v>
      </c>
      <c r="G654" s="9"/>
      <c r="H654" s="36">
        <v>25</v>
      </c>
      <c r="I654" s="34" t="s">
        <v>115</v>
      </c>
      <c r="J654" s="9"/>
    </row>
    <row r="655" spans="1:10">
      <c r="A655" s="32">
        <f t="shared" ref="A655:A718" si="1">IF(B655&lt;&gt;0,A654+1," ")</f>
        <v>654</v>
      </c>
      <c r="B655" s="33">
        <v>45202</v>
      </c>
      <c r="C655" s="9">
        <v>2791</v>
      </c>
      <c r="D655" s="9" t="s">
        <v>612</v>
      </c>
      <c r="E655" s="34">
        <v>55</v>
      </c>
      <c r="F655" s="35">
        <f>IFERROR(LOOKUP(E655,CODIGOS!A:A,CODIGOS!B:B)," ")</f>
        <v>0</v>
      </c>
      <c r="G655" s="9"/>
      <c r="H655" s="36">
        <v>25</v>
      </c>
      <c r="I655" s="34" t="s">
        <v>115</v>
      </c>
      <c r="J655" s="9"/>
    </row>
    <row r="656" spans="1:10">
      <c r="A656" s="32">
        <f t="shared" si="1"/>
        <v>655</v>
      </c>
      <c r="B656" s="33">
        <v>45202</v>
      </c>
      <c r="C656" s="9">
        <v>2792</v>
      </c>
      <c r="D656" s="9" t="s">
        <v>613</v>
      </c>
      <c r="E656" s="34">
        <v>55</v>
      </c>
      <c r="F656" s="35">
        <f>IFERROR(LOOKUP(E656,CODIGOS!A:A,CODIGOS!B:B)," ")</f>
        <v>0</v>
      </c>
      <c r="G656" s="9"/>
      <c r="H656" s="36">
        <v>25</v>
      </c>
      <c r="I656" s="34" t="s">
        <v>20</v>
      </c>
      <c r="J656" s="9"/>
    </row>
    <row r="657" spans="1:10">
      <c r="A657" s="32">
        <f t="shared" si="1"/>
        <v>656</v>
      </c>
      <c r="B657" s="33">
        <v>45202</v>
      </c>
      <c r="C657" s="9">
        <v>2792</v>
      </c>
      <c r="D657" s="9" t="s">
        <v>614</v>
      </c>
      <c r="E657" s="34">
        <v>16</v>
      </c>
      <c r="F657" s="35" t="str">
        <f>IFERROR(LOOKUP(E657,CODIGOS!A:A,CODIGOS!B:B)," ")</f>
        <v>LA CARTUJA</v>
      </c>
      <c r="G657" s="9"/>
      <c r="H657" s="36">
        <v>8</v>
      </c>
      <c r="I657" s="34"/>
      <c r="J657" s="9"/>
    </row>
    <row r="658" spans="1:10">
      <c r="A658" s="32">
        <f t="shared" si="1"/>
        <v>657</v>
      </c>
      <c r="B658" s="33">
        <v>45202</v>
      </c>
      <c r="C658" s="9">
        <v>2615</v>
      </c>
      <c r="D658" s="9" t="s">
        <v>615</v>
      </c>
      <c r="E658" s="34">
        <v>16</v>
      </c>
      <c r="F658" s="35" t="str">
        <f>IFERROR(LOOKUP(E658,CODIGOS!A:A,CODIGOS!B:B)," ")</f>
        <v>LA CARTUJA</v>
      </c>
      <c r="G658" s="9"/>
      <c r="H658" s="36">
        <v>8</v>
      </c>
      <c r="I658" s="34"/>
      <c r="J658" s="9"/>
    </row>
    <row r="659" spans="1:10">
      <c r="A659" s="32">
        <f t="shared" si="1"/>
        <v>658</v>
      </c>
      <c r="B659" s="33">
        <v>45202</v>
      </c>
      <c r="C659" s="9">
        <v>2015</v>
      </c>
      <c r="D659" s="9" t="s">
        <v>616</v>
      </c>
      <c r="E659" s="34">
        <v>16</v>
      </c>
      <c r="F659" s="35" t="str">
        <f>IFERROR(LOOKUP(E659,CODIGOS!A:A,CODIGOS!B:B)," ")</f>
        <v>LA CARTUJA</v>
      </c>
      <c r="G659" s="9"/>
      <c r="H659" s="36">
        <v>14</v>
      </c>
      <c r="I659" s="34"/>
      <c r="J659" s="9"/>
    </row>
    <row r="660" spans="1:10">
      <c r="A660" s="32">
        <f t="shared" si="1"/>
        <v>659</v>
      </c>
      <c r="B660" s="33">
        <v>45202</v>
      </c>
      <c r="C660" s="9">
        <v>2793</v>
      </c>
      <c r="D660" s="9" t="s">
        <v>617</v>
      </c>
      <c r="E660" s="34">
        <v>55</v>
      </c>
      <c r="F660" s="35">
        <f>IFERROR(LOOKUP(E660,CODIGOS!A:A,CODIGOS!B:B)," ")</f>
        <v>0</v>
      </c>
      <c r="G660" s="9"/>
      <c r="H660" s="36"/>
      <c r="I660" s="34" t="s">
        <v>115</v>
      </c>
      <c r="J660" s="9"/>
    </row>
    <row r="661" spans="1:10">
      <c r="A661" s="32">
        <f t="shared" si="1"/>
        <v>660</v>
      </c>
      <c r="B661" s="33">
        <v>45202</v>
      </c>
      <c r="C661" s="9">
        <v>2794</v>
      </c>
      <c r="D661" s="9" t="s">
        <v>618</v>
      </c>
      <c r="E661" s="34">
        <v>55</v>
      </c>
      <c r="F661" s="35">
        <f>IFERROR(LOOKUP(E661,CODIGOS!A:A,CODIGOS!B:B)," ")</f>
        <v>0</v>
      </c>
      <c r="G661" s="9"/>
      <c r="H661" s="36">
        <v>25</v>
      </c>
      <c r="I661" s="34" t="s">
        <v>115</v>
      </c>
      <c r="J661" s="9"/>
    </row>
    <row r="662" spans="1:10">
      <c r="A662" s="32">
        <f t="shared" si="1"/>
        <v>661</v>
      </c>
      <c r="B662" s="33">
        <v>45202</v>
      </c>
      <c r="C662" s="9">
        <v>2553</v>
      </c>
      <c r="D662" s="9" t="s">
        <v>619</v>
      </c>
      <c r="E662" s="34">
        <v>16</v>
      </c>
      <c r="F662" s="35" t="str">
        <f>IFERROR(LOOKUP(E662,CODIGOS!A:A,CODIGOS!B:B)," ")</f>
        <v>LA CARTUJA</v>
      </c>
      <c r="G662" s="9"/>
      <c r="H662" s="36">
        <v>8</v>
      </c>
      <c r="I662" s="34"/>
      <c r="J662" s="9"/>
    </row>
    <row r="663" spans="1:10">
      <c r="A663" s="32">
        <f t="shared" si="1"/>
        <v>662</v>
      </c>
      <c r="B663" s="33">
        <v>45202</v>
      </c>
      <c r="C663" s="9">
        <v>2512</v>
      </c>
      <c r="D663" s="9" t="s">
        <v>620</v>
      </c>
      <c r="E663" s="34">
        <v>55</v>
      </c>
      <c r="F663" s="35">
        <f>IFERROR(LOOKUP(E663,CODIGOS!A:A,CODIGOS!B:B)," ")</f>
        <v>0</v>
      </c>
      <c r="G663" s="9"/>
      <c r="H663" s="36">
        <v>25</v>
      </c>
      <c r="I663" s="34" t="s">
        <v>115</v>
      </c>
      <c r="J663" s="9"/>
    </row>
    <row r="664" spans="1:10">
      <c r="A664" s="32">
        <f t="shared" si="1"/>
        <v>663</v>
      </c>
      <c r="B664" s="33">
        <v>45202</v>
      </c>
      <c r="C664" s="9">
        <v>2584</v>
      </c>
      <c r="D664" s="9" t="s">
        <v>621</v>
      </c>
      <c r="E664" s="34">
        <v>55</v>
      </c>
      <c r="F664" s="35">
        <f>IFERROR(LOOKUP(E664,CODIGOS!A:A,CODIGOS!B:B)," ")</f>
        <v>0</v>
      </c>
      <c r="G664" s="9"/>
      <c r="H664" s="42">
        <v>25</v>
      </c>
      <c r="I664" s="34" t="s">
        <v>115</v>
      </c>
      <c r="J664" s="9"/>
    </row>
    <row r="665" spans="1:10">
      <c r="A665" s="32">
        <f t="shared" si="1"/>
        <v>664</v>
      </c>
      <c r="B665" s="33">
        <v>45202</v>
      </c>
      <c r="C665" s="9">
        <v>2583</v>
      </c>
      <c r="D665" s="9" t="s">
        <v>622</v>
      </c>
      <c r="E665" s="34">
        <v>55</v>
      </c>
      <c r="F665" s="35">
        <f>IFERROR(LOOKUP(E665,CODIGOS!A:A,CODIGOS!B:B)," ")</f>
        <v>0</v>
      </c>
      <c r="G665" s="9"/>
      <c r="H665" s="42">
        <v>25</v>
      </c>
      <c r="I665" s="34" t="s">
        <v>115</v>
      </c>
      <c r="J665" s="9"/>
    </row>
    <row r="666" spans="1:10">
      <c r="A666" s="32">
        <f t="shared" si="1"/>
        <v>665</v>
      </c>
      <c r="B666" s="33">
        <v>45202</v>
      </c>
      <c r="C666" s="9">
        <v>2581</v>
      </c>
      <c r="D666" s="9" t="s">
        <v>623</v>
      </c>
      <c r="E666" s="34">
        <v>55</v>
      </c>
      <c r="F666" s="35">
        <f>IFERROR(LOOKUP(E666,CODIGOS!A:A,CODIGOS!B:B)," ")</f>
        <v>0</v>
      </c>
      <c r="G666" s="9"/>
      <c r="H666" s="36">
        <v>25</v>
      </c>
      <c r="I666" s="34" t="s">
        <v>115</v>
      </c>
      <c r="J666" s="9"/>
    </row>
    <row r="667" spans="1:10">
      <c r="A667" s="32">
        <f t="shared" si="1"/>
        <v>666</v>
      </c>
      <c r="B667" s="33">
        <v>45202</v>
      </c>
      <c r="C667" s="9">
        <v>2544</v>
      </c>
      <c r="D667" s="9" t="s">
        <v>624</v>
      </c>
      <c r="E667" s="34">
        <v>55</v>
      </c>
      <c r="F667" s="35">
        <f>IFERROR(LOOKUP(E667,CODIGOS!A:A,CODIGOS!B:B)," ")</f>
        <v>0</v>
      </c>
      <c r="G667" s="9"/>
      <c r="H667" s="36">
        <v>25</v>
      </c>
      <c r="I667" s="34" t="s">
        <v>115</v>
      </c>
      <c r="J667" s="9"/>
    </row>
    <row r="668" spans="1:10">
      <c r="A668" s="32">
        <f t="shared" si="1"/>
        <v>667</v>
      </c>
      <c r="B668" s="33">
        <v>45202</v>
      </c>
      <c r="C668" s="9">
        <v>2026</v>
      </c>
      <c r="D668" s="9" t="s">
        <v>625</v>
      </c>
      <c r="E668" s="34">
        <v>55</v>
      </c>
      <c r="F668" s="35">
        <f>IFERROR(LOOKUP(E668,CODIGOS!A:A,CODIGOS!B:B)," ")</f>
        <v>0</v>
      </c>
      <c r="G668" s="9"/>
      <c r="H668" s="36">
        <v>25</v>
      </c>
      <c r="I668" s="34" t="s">
        <v>115</v>
      </c>
      <c r="J668" s="9"/>
    </row>
    <row r="669" spans="1:10">
      <c r="A669" s="32">
        <f t="shared" si="1"/>
        <v>668</v>
      </c>
      <c r="B669" s="33">
        <v>45202</v>
      </c>
      <c r="C669" s="9">
        <v>2709</v>
      </c>
      <c r="D669" s="9" t="s">
        <v>626</v>
      </c>
      <c r="E669" s="34">
        <v>55</v>
      </c>
      <c r="F669" s="35">
        <f>IFERROR(LOOKUP(E669,CODIGOS!A:A,CODIGOS!B:B)," ")</f>
        <v>0</v>
      </c>
      <c r="G669" s="9"/>
      <c r="H669" s="36">
        <v>25</v>
      </c>
      <c r="I669" s="34" t="s">
        <v>115</v>
      </c>
      <c r="J669" s="9"/>
    </row>
    <row r="670" spans="1:10">
      <c r="A670" s="32">
        <f t="shared" si="1"/>
        <v>669</v>
      </c>
      <c r="B670" s="33">
        <v>45202</v>
      </c>
      <c r="C670" s="9">
        <v>2710</v>
      </c>
      <c r="D670" s="9" t="s">
        <v>627</v>
      </c>
      <c r="E670" s="34">
        <v>55</v>
      </c>
      <c r="F670" s="35">
        <f>IFERROR(LOOKUP(E670,CODIGOS!A:A,CODIGOS!B:B)," ")</f>
        <v>0</v>
      </c>
      <c r="G670" s="9"/>
      <c r="H670" s="36">
        <v>25</v>
      </c>
      <c r="I670" s="34" t="s">
        <v>115</v>
      </c>
      <c r="J670" s="9"/>
    </row>
    <row r="671" spans="1:10">
      <c r="A671" s="32">
        <f t="shared" si="1"/>
        <v>670</v>
      </c>
      <c r="B671" s="33">
        <v>45202</v>
      </c>
      <c r="C671" s="9">
        <v>2605</v>
      </c>
      <c r="D671" s="9" t="s">
        <v>628</v>
      </c>
      <c r="E671" s="34">
        <v>55</v>
      </c>
      <c r="F671" s="35">
        <f>IFERROR(LOOKUP(E671,CODIGOS!A:A,CODIGOS!B:B)," ")</f>
        <v>0</v>
      </c>
      <c r="G671" s="9"/>
      <c r="H671" s="36">
        <v>25</v>
      </c>
      <c r="I671" s="34" t="s">
        <v>115</v>
      </c>
      <c r="J671" s="9"/>
    </row>
    <row r="672" spans="1:10">
      <c r="A672" s="32">
        <f t="shared" si="1"/>
        <v>671</v>
      </c>
      <c r="B672" s="33">
        <v>45203</v>
      </c>
      <c r="C672" s="40">
        <v>2619</v>
      </c>
      <c r="D672" s="9" t="s">
        <v>431</v>
      </c>
      <c r="E672" s="34">
        <v>16</v>
      </c>
      <c r="F672" s="35" t="str">
        <f>IFERROR(LOOKUP(E672,CODIGOS!A:A,CODIGOS!B:B)," ")</f>
        <v>LA CARTUJA</v>
      </c>
      <c r="G672" s="9"/>
      <c r="H672" s="36">
        <v>8</v>
      </c>
      <c r="I672" s="34"/>
      <c r="J672" s="9"/>
    </row>
    <row r="673" spans="1:10">
      <c r="A673" s="32">
        <f t="shared" si="1"/>
        <v>672</v>
      </c>
      <c r="B673" s="33">
        <v>45203</v>
      </c>
      <c r="C673" s="40">
        <v>2692</v>
      </c>
      <c r="D673" s="9" t="s">
        <v>629</v>
      </c>
      <c r="E673" s="34">
        <v>16</v>
      </c>
      <c r="F673" s="35" t="str">
        <f>IFERROR(LOOKUP(E673,CODIGOS!A:A,CODIGOS!B:B)," ")</f>
        <v>LA CARTUJA</v>
      </c>
      <c r="G673" s="9"/>
      <c r="H673" s="36">
        <v>8</v>
      </c>
      <c r="I673" s="34"/>
      <c r="J673" s="9"/>
    </row>
    <row r="674" spans="1:10">
      <c r="A674" s="32">
        <f t="shared" si="1"/>
        <v>673</v>
      </c>
      <c r="B674" s="33">
        <v>45203</v>
      </c>
      <c r="C674" s="40">
        <v>2692</v>
      </c>
      <c r="D674" s="9" t="s">
        <v>629</v>
      </c>
      <c r="E674" s="34">
        <v>19</v>
      </c>
      <c r="F674" s="35" t="str">
        <f>IFERROR(LOOKUP(E674,CODIGOS!A:A,CODIGOS!B:B)," ")</f>
        <v>VISITA MOTRIL</v>
      </c>
      <c r="G674" s="9"/>
      <c r="H674" s="36">
        <v>6</v>
      </c>
      <c r="I674" s="34"/>
      <c r="J674" s="9"/>
    </row>
    <row r="675" spans="1:10">
      <c r="A675" s="32">
        <f t="shared" si="1"/>
        <v>674</v>
      </c>
      <c r="B675" s="33">
        <v>45203</v>
      </c>
      <c r="C675" s="40">
        <v>2699</v>
      </c>
      <c r="D675" s="9" t="s">
        <v>630</v>
      </c>
      <c r="E675" s="34">
        <v>16</v>
      </c>
      <c r="F675" s="35" t="str">
        <f>IFERROR(LOOKUP(E675,CODIGOS!A:A,CODIGOS!B:B)," ")</f>
        <v>LA CARTUJA</v>
      </c>
      <c r="G675" s="9"/>
      <c r="H675" s="36">
        <v>8</v>
      </c>
      <c r="I675" s="34"/>
      <c r="J675" s="9"/>
    </row>
    <row r="676" spans="1:10">
      <c r="A676" s="32">
        <f t="shared" si="1"/>
        <v>675</v>
      </c>
      <c r="B676" s="33">
        <v>45203</v>
      </c>
      <c r="C676" s="40">
        <v>2698</v>
      </c>
      <c r="D676" s="9" t="s">
        <v>631</v>
      </c>
      <c r="E676" s="34">
        <v>16</v>
      </c>
      <c r="F676" s="35" t="str">
        <f>IFERROR(LOOKUP(E676,CODIGOS!A:A,CODIGOS!B:B)," ")</f>
        <v>LA CARTUJA</v>
      </c>
      <c r="G676" s="9"/>
      <c r="H676" s="36">
        <v>8</v>
      </c>
      <c r="I676" s="34"/>
      <c r="J676" s="9"/>
    </row>
    <row r="677" spans="1:10">
      <c r="A677" s="32">
        <f t="shared" si="1"/>
        <v>676</v>
      </c>
      <c r="B677" s="33">
        <v>45203</v>
      </c>
      <c r="C677" s="9">
        <v>2795</v>
      </c>
      <c r="D677" s="9" t="s">
        <v>632</v>
      </c>
      <c r="E677" s="34">
        <v>55</v>
      </c>
      <c r="F677" s="35">
        <f>IFERROR(LOOKUP(E677,CODIGOS!A:A,CODIGOS!B:B)," ")</f>
        <v>0</v>
      </c>
      <c r="G677" s="9"/>
      <c r="H677" s="36">
        <v>25</v>
      </c>
      <c r="I677" s="34" t="s">
        <v>11</v>
      </c>
      <c r="J677" s="9"/>
    </row>
    <row r="678" spans="1:10">
      <c r="A678" s="32">
        <f t="shared" si="1"/>
        <v>677</v>
      </c>
      <c r="B678" s="33">
        <v>45203</v>
      </c>
      <c r="C678" s="9">
        <v>2129</v>
      </c>
      <c r="D678" s="9" t="s">
        <v>633</v>
      </c>
      <c r="E678" s="34">
        <v>55</v>
      </c>
      <c r="F678" s="35">
        <f>IFERROR(LOOKUP(E678,CODIGOS!A:A,CODIGOS!B:B)," ")</f>
        <v>0</v>
      </c>
      <c r="G678" s="9"/>
      <c r="H678" s="36">
        <v>25</v>
      </c>
      <c r="I678" s="34" t="s">
        <v>11</v>
      </c>
      <c r="J678" s="9"/>
    </row>
    <row r="679" spans="1:10">
      <c r="A679" s="32">
        <f t="shared" si="1"/>
        <v>678</v>
      </c>
      <c r="B679" s="33">
        <v>45203</v>
      </c>
      <c r="C679" s="9">
        <v>2303</v>
      </c>
      <c r="D679" s="9" t="s">
        <v>105</v>
      </c>
      <c r="E679" s="34">
        <v>55</v>
      </c>
      <c r="F679" s="35">
        <f>IFERROR(LOOKUP(E679,CODIGOS!A:A,CODIGOS!B:B)," ")</f>
        <v>0</v>
      </c>
      <c r="G679" s="9"/>
      <c r="H679" s="36">
        <v>25</v>
      </c>
      <c r="I679" s="34" t="s">
        <v>20</v>
      </c>
      <c r="J679" s="9"/>
    </row>
    <row r="680" spans="1:10">
      <c r="A680" s="32">
        <f t="shared" si="1"/>
        <v>679</v>
      </c>
      <c r="B680" s="33">
        <v>45203</v>
      </c>
      <c r="C680" s="9">
        <v>2596</v>
      </c>
      <c r="D680" s="9" t="s">
        <v>344</v>
      </c>
      <c r="E680" s="34">
        <v>55</v>
      </c>
      <c r="F680" s="35">
        <f>IFERROR(LOOKUP(E680,CODIGOS!A:A,CODIGOS!B:B)," ")</f>
        <v>0</v>
      </c>
      <c r="G680" s="9"/>
      <c r="H680" s="36">
        <v>25</v>
      </c>
      <c r="I680" s="34" t="s">
        <v>11</v>
      </c>
      <c r="J680" s="9"/>
    </row>
    <row r="681" spans="1:10">
      <c r="A681" s="32">
        <f t="shared" si="1"/>
        <v>680</v>
      </c>
      <c r="B681" s="33">
        <v>45203</v>
      </c>
      <c r="C681" s="9">
        <v>2796</v>
      </c>
      <c r="D681" s="9" t="s">
        <v>634</v>
      </c>
      <c r="E681" s="34">
        <v>55</v>
      </c>
      <c r="F681" s="35">
        <f>IFERROR(LOOKUP(E681,CODIGOS!A:A,CODIGOS!B:B)," ")</f>
        <v>0</v>
      </c>
      <c r="G681" s="9"/>
      <c r="H681" s="36">
        <v>25</v>
      </c>
      <c r="I681" s="34" t="s">
        <v>11</v>
      </c>
      <c r="J681" s="9"/>
    </row>
    <row r="682" spans="1:10">
      <c r="A682" s="32">
        <f t="shared" si="1"/>
        <v>681</v>
      </c>
      <c r="B682" s="33">
        <v>45203</v>
      </c>
      <c r="C682" s="9">
        <v>2644</v>
      </c>
      <c r="D682" s="9" t="s">
        <v>635</v>
      </c>
      <c r="E682" s="34">
        <v>55</v>
      </c>
      <c r="F682" s="35">
        <f>IFERROR(LOOKUP(E682,CODIGOS!A:A,CODIGOS!B:B)," ")</f>
        <v>0</v>
      </c>
      <c r="G682" s="9"/>
      <c r="H682" s="36">
        <v>25</v>
      </c>
      <c r="I682" s="34" t="s">
        <v>11</v>
      </c>
      <c r="J682" s="9"/>
    </row>
    <row r="683" spans="1:10">
      <c r="A683" s="32">
        <f t="shared" si="1"/>
        <v>682</v>
      </c>
      <c r="B683" s="33">
        <v>45203</v>
      </c>
      <c r="C683" s="9">
        <v>2445</v>
      </c>
      <c r="D683" s="9" t="s">
        <v>636</v>
      </c>
      <c r="E683" s="34">
        <v>55</v>
      </c>
      <c r="F683" s="35">
        <f>IFERROR(LOOKUP(E683,CODIGOS!A:A,CODIGOS!B:B)," ")</f>
        <v>0</v>
      </c>
      <c r="G683" s="9"/>
      <c r="H683" s="36">
        <v>0</v>
      </c>
      <c r="I683" s="34" t="s">
        <v>20</v>
      </c>
      <c r="J683" s="9"/>
    </row>
    <row r="684" spans="1:10">
      <c r="A684" s="32">
        <f t="shared" si="1"/>
        <v>683</v>
      </c>
      <c r="B684" s="33">
        <v>45203</v>
      </c>
      <c r="C684" s="9">
        <v>2797</v>
      </c>
      <c r="D684" s="9" t="s">
        <v>637</v>
      </c>
      <c r="E684" s="34">
        <v>55</v>
      </c>
      <c r="F684" s="35">
        <f>IFERROR(LOOKUP(E684,CODIGOS!A:A,CODIGOS!B:B)," ")</f>
        <v>0</v>
      </c>
      <c r="G684" s="9"/>
      <c r="H684" s="36">
        <v>25</v>
      </c>
      <c r="I684" s="34" t="s">
        <v>11</v>
      </c>
      <c r="J684" s="9"/>
    </row>
    <row r="685" spans="1:10">
      <c r="A685" s="32">
        <f t="shared" si="1"/>
        <v>684</v>
      </c>
      <c r="B685" s="33">
        <v>45203</v>
      </c>
      <c r="C685" s="9">
        <v>2500</v>
      </c>
      <c r="D685" s="9" t="s">
        <v>68</v>
      </c>
      <c r="E685" s="34">
        <v>16</v>
      </c>
      <c r="F685" s="35" t="str">
        <f>IFERROR(LOOKUP(E685,CODIGOS!A:A,CODIGOS!B:B)," ")</f>
        <v>LA CARTUJA</v>
      </c>
      <c r="G685" s="9"/>
      <c r="H685" s="36">
        <v>8</v>
      </c>
      <c r="I685" s="34"/>
      <c r="J685" s="9"/>
    </row>
    <row r="686" spans="1:10">
      <c r="A686" s="32">
        <f t="shared" si="1"/>
        <v>685</v>
      </c>
      <c r="B686" s="33">
        <v>45203</v>
      </c>
      <c r="C686" s="9">
        <v>2198</v>
      </c>
      <c r="D686" s="9" t="s">
        <v>638</v>
      </c>
      <c r="E686" s="34">
        <v>16</v>
      </c>
      <c r="F686" s="35" t="str">
        <f>IFERROR(LOOKUP(E686,CODIGOS!A:A,CODIGOS!B:B)," ")</f>
        <v>LA CARTUJA</v>
      </c>
      <c r="G686" s="9"/>
      <c r="H686" s="36">
        <v>8</v>
      </c>
      <c r="I686" s="34"/>
      <c r="J686" s="9"/>
    </row>
    <row r="687" spans="1:10">
      <c r="A687" s="32">
        <f t="shared" si="1"/>
        <v>686</v>
      </c>
      <c r="B687" s="33">
        <v>45203</v>
      </c>
      <c r="C687" s="9">
        <v>1982</v>
      </c>
      <c r="D687" s="9" t="s">
        <v>639</v>
      </c>
      <c r="E687" s="34">
        <v>16</v>
      </c>
      <c r="F687" s="35" t="str">
        <f>IFERROR(LOOKUP(E687,CODIGOS!A:A,CODIGOS!B:B)," ")</f>
        <v>LA CARTUJA</v>
      </c>
      <c r="G687" s="9"/>
      <c r="H687" s="36">
        <v>8</v>
      </c>
      <c r="I687" s="34"/>
      <c r="J687" s="9"/>
    </row>
    <row r="688" spans="1:10">
      <c r="A688" s="32">
        <f t="shared" si="1"/>
        <v>687</v>
      </c>
      <c r="B688" s="33">
        <v>45203</v>
      </c>
      <c r="C688" s="9">
        <v>269</v>
      </c>
      <c r="D688" s="9" t="s">
        <v>51</v>
      </c>
      <c r="E688" s="34">
        <v>16</v>
      </c>
      <c r="F688" s="35" t="str">
        <f>IFERROR(LOOKUP(E688,CODIGOS!A:A,CODIGOS!B:B)," ")</f>
        <v>LA CARTUJA</v>
      </c>
      <c r="G688" s="9"/>
      <c r="H688" s="42">
        <v>8</v>
      </c>
      <c r="I688" s="34"/>
      <c r="J688" s="9"/>
    </row>
    <row r="689" spans="1:10">
      <c r="A689" s="32">
        <f t="shared" si="1"/>
        <v>688</v>
      </c>
      <c r="B689" s="33">
        <v>45203</v>
      </c>
      <c r="C689" s="9">
        <v>2186</v>
      </c>
      <c r="D689" s="9" t="s">
        <v>640</v>
      </c>
      <c r="E689" s="34">
        <v>55</v>
      </c>
      <c r="F689" s="35">
        <f>IFERROR(LOOKUP(E689,CODIGOS!A:A,CODIGOS!B:B)," ")</f>
        <v>0</v>
      </c>
      <c r="G689" s="9"/>
      <c r="H689" s="42">
        <v>25</v>
      </c>
      <c r="I689" s="34" t="s">
        <v>11</v>
      </c>
      <c r="J689" s="9"/>
    </row>
    <row r="690" spans="1:10">
      <c r="A690" s="32">
        <f t="shared" si="1"/>
        <v>689</v>
      </c>
      <c r="B690" s="33">
        <v>45203</v>
      </c>
      <c r="C690" s="9">
        <v>2798</v>
      </c>
      <c r="D690" s="9" t="s">
        <v>641</v>
      </c>
      <c r="E690" s="34">
        <v>55</v>
      </c>
      <c r="F690" s="35">
        <f>IFERROR(LOOKUP(E690,CODIGOS!A:A,CODIGOS!B:B)," ")</f>
        <v>0</v>
      </c>
      <c r="G690" s="9"/>
      <c r="H690" s="36">
        <v>25</v>
      </c>
      <c r="I690" s="34" t="s">
        <v>11</v>
      </c>
      <c r="J690" s="9"/>
    </row>
    <row r="691" spans="1:10">
      <c r="A691" s="32">
        <f t="shared" si="1"/>
        <v>690</v>
      </c>
      <c r="B691" s="33">
        <v>45203</v>
      </c>
      <c r="C691" s="9">
        <v>2793</v>
      </c>
      <c r="D691" s="9" t="s">
        <v>642</v>
      </c>
      <c r="E691" s="34">
        <v>55</v>
      </c>
      <c r="F691" s="35">
        <f>IFERROR(LOOKUP(E691,CODIGOS!A:A,CODIGOS!B:B)," ")</f>
        <v>0</v>
      </c>
      <c r="G691" s="9"/>
      <c r="H691" s="36">
        <v>25</v>
      </c>
      <c r="I691" s="34" t="s">
        <v>11</v>
      </c>
      <c r="J691" s="9"/>
    </row>
    <row r="692" spans="1:10">
      <c r="A692" s="32">
        <f t="shared" si="1"/>
        <v>691</v>
      </c>
      <c r="B692" s="33">
        <v>45203</v>
      </c>
      <c r="C692" s="9">
        <v>2799</v>
      </c>
      <c r="D692" s="9" t="s">
        <v>643</v>
      </c>
      <c r="E692" s="34">
        <v>55</v>
      </c>
      <c r="F692" s="35">
        <f>IFERROR(LOOKUP(E692,CODIGOS!A:A,CODIGOS!B:B)," ")</f>
        <v>0</v>
      </c>
      <c r="G692" s="9"/>
      <c r="H692" s="36">
        <v>25</v>
      </c>
      <c r="I692" s="34" t="s">
        <v>11</v>
      </c>
      <c r="J692" s="9"/>
    </row>
    <row r="693" spans="1:10">
      <c r="A693" s="32">
        <f t="shared" si="1"/>
        <v>692</v>
      </c>
      <c r="B693" s="33">
        <v>45208</v>
      </c>
      <c r="C693" s="40">
        <v>2702</v>
      </c>
      <c r="D693" s="9" t="s">
        <v>644</v>
      </c>
      <c r="E693" s="34">
        <v>55</v>
      </c>
      <c r="F693" s="35">
        <f>IFERROR(LOOKUP(E693,CODIGOS!A:A,CODIGOS!B:B)," ")</f>
        <v>0</v>
      </c>
      <c r="G693" s="9"/>
      <c r="H693" s="36">
        <v>25</v>
      </c>
      <c r="I693" s="34" t="s">
        <v>11</v>
      </c>
      <c r="J693" s="9"/>
    </row>
    <row r="694" spans="1:10">
      <c r="A694" s="32">
        <f t="shared" si="1"/>
        <v>693</v>
      </c>
      <c r="B694" s="33">
        <v>45208</v>
      </c>
      <c r="C694" s="40">
        <v>2729</v>
      </c>
      <c r="D694" s="9" t="s">
        <v>645</v>
      </c>
      <c r="E694" s="34">
        <v>55</v>
      </c>
      <c r="F694" s="35">
        <f>IFERROR(LOOKUP(E694,CODIGOS!A:A,CODIGOS!B:B)," ")</f>
        <v>0</v>
      </c>
      <c r="G694" s="9"/>
      <c r="H694" s="36">
        <v>25</v>
      </c>
      <c r="I694" s="34" t="s">
        <v>11</v>
      </c>
      <c r="J694" s="9"/>
    </row>
    <row r="695" spans="1:10">
      <c r="A695" s="32">
        <f t="shared" si="1"/>
        <v>694</v>
      </c>
      <c r="B695" s="33">
        <v>45208</v>
      </c>
      <c r="C695" s="40">
        <v>2702</v>
      </c>
      <c r="D695" s="9" t="s">
        <v>644</v>
      </c>
      <c r="E695" s="34">
        <v>17</v>
      </c>
      <c r="F695" s="35" t="str">
        <f>IFERROR(LOOKUP(E695,CODIGOS!A:A,CODIGOS!B:B)," ")</f>
        <v>VISITA CASA DE LOS PISAS</v>
      </c>
      <c r="G695" s="9"/>
      <c r="H695" s="36">
        <v>15</v>
      </c>
      <c r="I695" s="34"/>
      <c r="J695" s="9"/>
    </row>
    <row r="696" spans="1:10">
      <c r="A696" s="32">
        <f t="shared" si="1"/>
        <v>695</v>
      </c>
      <c r="B696" s="33">
        <v>45208</v>
      </c>
      <c r="C696" s="40">
        <v>2729</v>
      </c>
      <c r="D696" s="9" t="s">
        <v>645</v>
      </c>
      <c r="E696" s="34">
        <v>17</v>
      </c>
      <c r="F696" s="35" t="str">
        <f>IFERROR(LOOKUP(E696,CODIGOS!A:A,CODIGOS!B:B)," ")</f>
        <v>VISITA CASA DE LOS PISAS</v>
      </c>
      <c r="G696" s="9"/>
      <c r="H696" s="36">
        <v>15</v>
      </c>
      <c r="I696" s="34"/>
      <c r="J696" s="9"/>
    </row>
    <row r="697" spans="1:10">
      <c r="A697" s="32">
        <f t="shared" si="1"/>
        <v>696</v>
      </c>
      <c r="B697" s="33">
        <v>45208</v>
      </c>
      <c r="C697" s="40">
        <v>2000</v>
      </c>
      <c r="D697" s="9" t="s">
        <v>428</v>
      </c>
      <c r="E697" s="34">
        <v>16</v>
      </c>
      <c r="F697" s="35" t="str">
        <f>IFERROR(LOOKUP(E697,CODIGOS!A:A,CODIGOS!B:B)," ")</f>
        <v>LA CARTUJA</v>
      </c>
      <c r="G697" s="9"/>
      <c r="H697" s="36">
        <v>8</v>
      </c>
      <c r="I697" s="34"/>
      <c r="J697" s="9"/>
    </row>
    <row r="698" spans="1:10">
      <c r="A698" s="32">
        <f t="shared" si="1"/>
        <v>697</v>
      </c>
      <c r="B698" s="33">
        <v>45208</v>
      </c>
      <c r="C698" s="9">
        <v>2000</v>
      </c>
      <c r="D698" s="9" t="s">
        <v>428</v>
      </c>
      <c r="E698" s="34">
        <v>15</v>
      </c>
      <c r="F698" s="35" t="str">
        <f>IFERROR(LOOKUP(E698,CODIGOS!A:A,CODIGOS!B:B)," ")</f>
        <v>MUSEO SAN JUAN DE DIOS CP</v>
      </c>
      <c r="G698" s="9"/>
      <c r="H698" s="36">
        <v>6</v>
      </c>
      <c r="I698" s="34"/>
      <c r="J698" s="9"/>
    </row>
    <row r="699" spans="1:10">
      <c r="A699" s="32">
        <f t="shared" si="1"/>
        <v>698</v>
      </c>
      <c r="B699" s="33">
        <v>45208</v>
      </c>
      <c r="C699" s="9">
        <v>2800</v>
      </c>
      <c r="D699" s="9" t="s">
        <v>646</v>
      </c>
      <c r="E699" s="34">
        <v>55</v>
      </c>
      <c r="F699" s="35">
        <f>IFERROR(LOOKUP(E699,CODIGOS!A:A,CODIGOS!B:B)," ")</f>
        <v>0</v>
      </c>
      <c r="G699" s="9"/>
      <c r="H699" s="36">
        <v>25</v>
      </c>
      <c r="I699" s="34" t="s">
        <v>11</v>
      </c>
      <c r="J699" s="9"/>
    </row>
    <row r="700" spans="1:10">
      <c r="A700" s="32">
        <f t="shared" si="1"/>
        <v>699</v>
      </c>
      <c r="B700" s="33">
        <v>45208</v>
      </c>
      <c r="C700" s="9">
        <v>2653</v>
      </c>
      <c r="D700" s="9" t="s">
        <v>647</v>
      </c>
      <c r="E700" s="34">
        <v>55</v>
      </c>
      <c r="F700" s="35">
        <f>IFERROR(LOOKUP(E700,CODIGOS!A:A,CODIGOS!B:B)," ")</f>
        <v>0</v>
      </c>
      <c r="G700" s="9"/>
      <c r="H700" s="36">
        <v>25</v>
      </c>
      <c r="I700" s="34" t="s">
        <v>11</v>
      </c>
      <c r="J700" s="9"/>
    </row>
    <row r="701" spans="1:10">
      <c r="A701" s="32">
        <f t="shared" si="1"/>
        <v>700</v>
      </c>
      <c r="B701" s="33">
        <v>45208</v>
      </c>
      <c r="C701" s="9">
        <v>2445</v>
      </c>
      <c r="D701" s="9" t="s">
        <v>636</v>
      </c>
      <c r="E701" s="34">
        <v>16</v>
      </c>
      <c r="F701" s="35" t="str">
        <f>IFERROR(LOOKUP(E701,CODIGOS!A:A,CODIGOS!B:B)," ")</f>
        <v>LA CARTUJA</v>
      </c>
      <c r="G701" s="9"/>
      <c r="H701" s="36">
        <v>8</v>
      </c>
      <c r="I701" s="34"/>
      <c r="J701" s="9"/>
    </row>
    <row r="702" spans="1:10">
      <c r="A702" s="32">
        <f t="shared" si="1"/>
        <v>701</v>
      </c>
      <c r="B702" s="33">
        <v>45208</v>
      </c>
      <c r="C702" s="9">
        <v>2603</v>
      </c>
      <c r="D702" s="9" t="s">
        <v>648</v>
      </c>
      <c r="E702" s="34">
        <v>55</v>
      </c>
      <c r="F702" s="35">
        <f>IFERROR(LOOKUP(E702,CODIGOS!A:A,CODIGOS!B:B)," ")</f>
        <v>0</v>
      </c>
      <c r="G702" s="9"/>
      <c r="H702" s="36">
        <v>25</v>
      </c>
      <c r="I702" s="34" t="s">
        <v>11</v>
      </c>
      <c r="J702" s="9"/>
    </row>
    <row r="703" spans="1:10">
      <c r="A703" s="32">
        <f t="shared" si="1"/>
        <v>702</v>
      </c>
      <c r="B703" s="33">
        <v>45208</v>
      </c>
      <c r="C703" s="9">
        <v>2545</v>
      </c>
      <c r="D703" s="9" t="s">
        <v>649</v>
      </c>
      <c r="E703" s="34">
        <v>55</v>
      </c>
      <c r="F703" s="35">
        <f>IFERROR(LOOKUP(E703,CODIGOS!A:A,CODIGOS!B:B)," ")</f>
        <v>0</v>
      </c>
      <c r="G703" s="9"/>
      <c r="H703" s="36">
        <v>25</v>
      </c>
      <c r="I703" s="34" t="s">
        <v>11</v>
      </c>
      <c r="J703" s="9"/>
    </row>
    <row r="704" spans="1:10">
      <c r="A704" s="32">
        <f t="shared" si="1"/>
        <v>703</v>
      </c>
      <c r="B704" s="33">
        <v>45208</v>
      </c>
      <c r="C704" s="9">
        <v>2721</v>
      </c>
      <c r="D704" s="9" t="s">
        <v>110</v>
      </c>
      <c r="E704" s="34">
        <v>55</v>
      </c>
      <c r="F704" s="35">
        <f>IFERROR(LOOKUP(E704,CODIGOS!A:A,CODIGOS!B:B)," ")</f>
        <v>0</v>
      </c>
      <c r="G704" s="9"/>
      <c r="H704" s="36">
        <v>25</v>
      </c>
      <c r="I704" s="34" t="s">
        <v>11</v>
      </c>
      <c r="J704" s="9"/>
    </row>
    <row r="705" spans="1:10">
      <c r="A705" s="32">
        <f t="shared" si="1"/>
        <v>704</v>
      </c>
      <c r="B705" s="33">
        <v>45208</v>
      </c>
      <c r="C705" s="9">
        <v>2801</v>
      </c>
      <c r="D705" s="9" t="s">
        <v>650</v>
      </c>
      <c r="E705" s="34">
        <v>55</v>
      </c>
      <c r="F705" s="35">
        <f>IFERROR(LOOKUP(E705,CODIGOS!A:A,CODIGOS!B:B)," ")</f>
        <v>0</v>
      </c>
      <c r="G705" s="9"/>
      <c r="H705" s="36">
        <v>25</v>
      </c>
      <c r="I705" s="34" t="s">
        <v>11</v>
      </c>
      <c r="J705" s="9"/>
    </row>
    <row r="706" spans="1:10">
      <c r="A706" s="32">
        <f t="shared" si="1"/>
        <v>705</v>
      </c>
      <c r="B706" s="33">
        <v>45208</v>
      </c>
      <c r="C706" s="9">
        <v>2721</v>
      </c>
      <c r="D706" s="9" t="s">
        <v>110</v>
      </c>
      <c r="E706" s="34">
        <v>16</v>
      </c>
      <c r="F706" s="35" t="str">
        <f>IFERROR(LOOKUP(E706,CODIGOS!A:A,CODIGOS!B:B)," ")</f>
        <v>LA CARTUJA</v>
      </c>
      <c r="G706" s="9"/>
      <c r="H706" s="36">
        <v>8</v>
      </c>
      <c r="I706" s="34"/>
      <c r="J706" s="9"/>
    </row>
    <row r="707" spans="1:10">
      <c r="A707" s="32">
        <f t="shared" si="1"/>
        <v>706</v>
      </c>
      <c r="B707" s="33">
        <v>45208</v>
      </c>
      <c r="C707" s="9">
        <v>2721</v>
      </c>
      <c r="D707" s="9" t="s">
        <v>110</v>
      </c>
      <c r="E707" s="34">
        <v>18</v>
      </c>
      <c r="F707" s="35" t="str">
        <f>IFERROR(LOOKUP(E707,CODIGOS!A:A,CODIGOS!B:B)," ")</f>
        <v>COMIDA DE PATRONA</v>
      </c>
      <c r="G707" s="9"/>
      <c r="H707" s="36">
        <v>6</v>
      </c>
      <c r="I707" s="34"/>
      <c r="J707" s="9"/>
    </row>
    <row r="708" spans="1:10">
      <c r="A708" s="32">
        <f t="shared" si="1"/>
        <v>707</v>
      </c>
      <c r="B708" s="33">
        <v>45208</v>
      </c>
      <c r="C708" s="9">
        <v>1944</v>
      </c>
      <c r="D708" s="9" t="s">
        <v>651</v>
      </c>
      <c r="E708" s="34">
        <v>17</v>
      </c>
      <c r="F708" s="35" t="str">
        <f>IFERROR(LOOKUP(E708,CODIGOS!A:A,CODIGOS!B:B)," ")</f>
        <v>VISITA CASA DE LOS PISAS</v>
      </c>
      <c r="G708" s="9"/>
      <c r="H708" s="36">
        <v>15</v>
      </c>
      <c r="I708" s="34"/>
      <c r="J708" s="9"/>
    </row>
    <row r="709" spans="1:10">
      <c r="A709" s="32">
        <f t="shared" si="1"/>
        <v>708</v>
      </c>
      <c r="B709" s="33">
        <v>45208</v>
      </c>
      <c r="C709" s="9">
        <v>2770</v>
      </c>
      <c r="D709" s="9" t="s">
        <v>652</v>
      </c>
      <c r="E709" s="34">
        <v>17</v>
      </c>
      <c r="F709" s="35" t="str">
        <f>IFERROR(LOOKUP(E709,CODIGOS!A:A,CODIGOS!B:B)," ")</f>
        <v>VISITA CASA DE LOS PISAS</v>
      </c>
      <c r="G709" s="9"/>
      <c r="H709" s="42">
        <v>15</v>
      </c>
      <c r="I709" s="34"/>
      <c r="J709" s="9"/>
    </row>
    <row r="710" spans="1:10">
      <c r="A710" s="32">
        <f t="shared" si="1"/>
        <v>709</v>
      </c>
      <c r="B710" s="33">
        <v>45208</v>
      </c>
      <c r="C710" s="9">
        <v>2802</v>
      </c>
      <c r="D710" s="9" t="s">
        <v>653</v>
      </c>
      <c r="E710" s="34">
        <v>55</v>
      </c>
      <c r="F710" s="35">
        <f>IFERROR(LOOKUP(E710,CODIGOS!A:A,CODIGOS!B:B)," ")</f>
        <v>0</v>
      </c>
      <c r="G710" s="9"/>
      <c r="H710" s="42">
        <v>25</v>
      </c>
      <c r="I710" s="34" t="s">
        <v>11</v>
      </c>
      <c r="J710" s="9"/>
    </row>
    <row r="711" spans="1:10">
      <c r="A711" s="32">
        <f t="shared" si="1"/>
        <v>710</v>
      </c>
      <c r="B711" s="33">
        <v>45208</v>
      </c>
      <c r="C711" s="9">
        <v>1835</v>
      </c>
      <c r="D711" s="9" t="s">
        <v>654</v>
      </c>
      <c r="E711" s="34">
        <v>55</v>
      </c>
      <c r="F711" s="35">
        <f>IFERROR(LOOKUP(E711,CODIGOS!A:A,CODIGOS!B:B)," ")</f>
        <v>0</v>
      </c>
      <c r="G711" s="9"/>
      <c r="H711" s="36">
        <v>25</v>
      </c>
      <c r="I711" s="34" t="s">
        <v>20</v>
      </c>
      <c r="J711" s="9"/>
    </row>
    <row r="712" spans="1:10">
      <c r="A712" s="32">
        <f t="shared" si="1"/>
        <v>711</v>
      </c>
      <c r="B712" s="33">
        <v>45208</v>
      </c>
      <c r="C712" s="9">
        <v>1834</v>
      </c>
      <c r="D712" s="9" t="s">
        <v>655</v>
      </c>
      <c r="E712" s="34">
        <v>55</v>
      </c>
      <c r="F712" s="35">
        <f>IFERROR(LOOKUP(E712,CODIGOS!A:A,CODIGOS!B:B)," ")</f>
        <v>0</v>
      </c>
      <c r="G712" s="9"/>
      <c r="H712" s="36">
        <v>25</v>
      </c>
      <c r="I712" s="34" t="s">
        <v>20</v>
      </c>
      <c r="J712" s="9"/>
    </row>
    <row r="713" spans="1:10">
      <c r="A713" s="32">
        <f t="shared" si="1"/>
        <v>712</v>
      </c>
      <c r="B713" s="33">
        <v>45208</v>
      </c>
      <c r="C713" s="9">
        <v>2803</v>
      </c>
      <c r="D713" s="9" t="s">
        <v>656</v>
      </c>
      <c r="E713" s="34">
        <v>55</v>
      </c>
      <c r="F713" s="35">
        <f>IFERROR(LOOKUP(E713,CODIGOS!A:A,CODIGOS!B:B)," ")</f>
        <v>0</v>
      </c>
      <c r="G713" s="9"/>
      <c r="H713" s="36">
        <v>25</v>
      </c>
      <c r="I713" s="34" t="s">
        <v>11</v>
      </c>
      <c r="J713" s="9"/>
    </row>
    <row r="714" spans="1:10">
      <c r="A714" s="32">
        <f t="shared" si="1"/>
        <v>713</v>
      </c>
      <c r="B714" s="33">
        <v>45208</v>
      </c>
      <c r="C714" s="9">
        <v>2804</v>
      </c>
      <c r="D714" s="9" t="s">
        <v>657</v>
      </c>
      <c r="E714" s="34">
        <v>55</v>
      </c>
      <c r="F714" s="35">
        <f>IFERROR(LOOKUP(E714,CODIGOS!A:A,CODIGOS!B:B)," ")</f>
        <v>0</v>
      </c>
      <c r="G714" s="9"/>
      <c r="H714" s="36">
        <v>25</v>
      </c>
      <c r="I714" s="34" t="s">
        <v>11</v>
      </c>
      <c r="J714" s="9"/>
    </row>
    <row r="715" spans="1:10">
      <c r="A715" s="32">
        <f t="shared" si="1"/>
        <v>714</v>
      </c>
      <c r="B715" s="33">
        <v>45208</v>
      </c>
      <c r="C715" s="9">
        <v>2704</v>
      </c>
      <c r="D715" s="9" t="s">
        <v>482</v>
      </c>
      <c r="E715" s="34">
        <v>17</v>
      </c>
      <c r="F715" s="35" t="str">
        <f>IFERROR(LOOKUP(E715,CODIGOS!A:A,CODIGOS!B:B)," ")</f>
        <v>VISITA CASA DE LOS PISAS</v>
      </c>
      <c r="G715" s="9"/>
      <c r="H715" s="36">
        <v>15</v>
      </c>
      <c r="I715" s="34"/>
      <c r="J715" s="9"/>
    </row>
    <row r="716" spans="1:10">
      <c r="A716" s="32">
        <f t="shared" si="1"/>
        <v>715</v>
      </c>
      <c r="B716" s="33">
        <v>45208</v>
      </c>
      <c r="C716" s="9">
        <v>2703</v>
      </c>
      <c r="D716" s="9" t="s">
        <v>658</v>
      </c>
      <c r="E716" s="34">
        <v>17</v>
      </c>
      <c r="F716" s="35" t="str">
        <f>IFERROR(LOOKUP(E716,CODIGOS!A:A,CODIGOS!B:B)," ")</f>
        <v>VISITA CASA DE LOS PISAS</v>
      </c>
      <c r="G716" s="9"/>
      <c r="H716" s="36">
        <v>15</v>
      </c>
      <c r="I716" s="34"/>
      <c r="J716" s="9"/>
    </row>
    <row r="717" spans="1:10">
      <c r="A717" s="32">
        <f t="shared" si="1"/>
        <v>716</v>
      </c>
      <c r="B717" s="33">
        <v>45208</v>
      </c>
      <c r="C717" s="9">
        <v>1856</v>
      </c>
      <c r="D717" s="9" t="s">
        <v>480</v>
      </c>
      <c r="E717" s="34">
        <v>17</v>
      </c>
      <c r="F717" s="35" t="str">
        <f>IFERROR(LOOKUP(E717,CODIGOS!A:A,CODIGOS!B:B)," ")</f>
        <v>VISITA CASA DE LOS PISAS</v>
      </c>
      <c r="G717" s="9"/>
      <c r="H717" s="36">
        <v>15</v>
      </c>
      <c r="I717" s="34"/>
      <c r="J717" s="9"/>
    </row>
    <row r="718" spans="1:10">
      <c r="A718" s="32">
        <f t="shared" si="1"/>
        <v>717</v>
      </c>
      <c r="B718" s="33">
        <v>45208</v>
      </c>
      <c r="C718" s="9">
        <v>2308</v>
      </c>
      <c r="D718" s="9" t="s">
        <v>659</v>
      </c>
      <c r="E718" s="34">
        <v>17</v>
      </c>
      <c r="F718" s="35" t="str">
        <f>IFERROR(LOOKUP(E718,CODIGOS!A:A,CODIGOS!B:B)," ")</f>
        <v>VISITA CASA DE LOS PISAS</v>
      </c>
      <c r="G718" s="9"/>
      <c r="H718" s="36">
        <v>15</v>
      </c>
      <c r="I718" s="34"/>
      <c r="J718" s="9"/>
    </row>
    <row r="719" spans="1:10">
      <c r="A719" s="32">
        <f t="shared" ref="A719:A782" si="2">IF(B719&lt;&gt;0,A718+1," ")</f>
        <v>718</v>
      </c>
      <c r="B719" s="33">
        <v>45208</v>
      </c>
      <c r="C719" s="9">
        <v>2612</v>
      </c>
      <c r="D719" s="9" t="s">
        <v>660</v>
      </c>
      <c r="E719" s="34">
        <v>17</v>
      </c>
      <c r="F719" s="35" t="str">
        <f>IFERROR(LOOKUP(E719,CODIGOS!A:A,CODIGOS!B:B)," ")</f>
        <v>VISITA CASA DE LOS PISAS</v>
      </c>
      <c r="G719" s="9"/>
      <c r="H719" s="36">
        <v>15</v>
      </c>
      <c r="I719" s="34"/>
      <c r="J719" s="9"/>
    </row>
    <row r="720" spans="1:10">
      <c r="A720" s="32">
        <f t="shared" si="2"/>
        <v>719</v>
      </c>
      <c r="B720" s="33">
        <v>45208</v>
      </c>
      <c r="C720" s="9">
        <v>2564</v>
      </c>
      <c r="D720" s="9" t="s">
        <v>511</v>
      </c>
      <c r="E720" s="34">
        <v>17</v>
      </c>
      <c r="F720" s="35" t="str">
        <f>IFERROR(LOOKUP(E720,CODIGOS!A:A,CODIGOS!B:B)," ")</f>
        <v>VISITA CASA DE LOS PISAS</v>
      </c>
      <c r="G720" s="9"/>
      <c r="H720" s="36">
        <v>15</v>
      </c>
      <c r="I720" s="34"/>
      <c r="J720" s="9"/>
    </row>
    <row r="721" spans="1:10">
      <c r="A721" s="32">
        <f t="shared" si="2"/>
        <v>720</v>
      </c>
      <c r="B721" s="33">
        <v>45208</v>
      </c>
      <c r="C721" s="9">
        <v>2654</v>
      </c>
      <c r="D721" s="9" t="s">
        <v>432</v>
      </c>
      <c r="E721" s="34">
        <v>17</v>
      </c>
      <c r="F721" s="35" t="str">
        <f>IFERROR(LOOKUP(E721,CODIGOS!A:A,CODIGOS!B:B)," ")</f>
        <v>VISITA CASA DE LOS PISAS</v>
      </c>
      <c r="G721" s="9"/>
      <c r="H721" s="36">
        <v>15</v>
      </c>
      <c r="I721" s="34"/>
      <c r="J721" s="9"/>
    </row>
    <row r="722" spans="1:10">
      <c r="A722" s="32">
        <f t="shared" si="2"/>
        <v>721</v>
      </c>
      <c r="B722" s="33">
        <v>45208</v>
      </c>
      <c r="C722" s="9">
        <v>2795</v>
      </c>
      <c r="D722" s="9" t="s">
        <v>661</v>
      </c>
      <c r="E722" s="34">
        <v>16</v>
      </c>
      <c r="F722" s="35" t="str">
        <f>IFERROR(LOOKUP(E722,CODIGOS!A:A,CODIGOS!B:B)," ")</f>
        <v>LA CARTUJA</v>
      </c>
      <c r="G722" s="9"/>
      <c r="H722" s="36">
        <v>8</v>
      </c>
      <c r="I722" s="34"/>
      <c r="J722" s="9"/>
    </row>
    <row r="723" spans="1:10">
      <c r="A723" s="32">
        <f t="shared" si="2"/>
        <v>722</v>
      </c>
      <c r="B723" s="33">
        <v>45208</v>
      </c>
      <c r="C723" s="9" t="s">
        <v>662</v>
      </c>
      <c r="D723" s="9" t="s">
        <v>663</v>
      </c>
      <c r="E723" s="34">
        <v>16</v>
      </c>
      <c r="F723" s="35" t="str">
        <f>IFERROR(LOOKUP(E723,CODIGOS!A:A,CODIGOS!B:B)," ")</f>
        <v>LA CARTUJA</v>
      </c>
      <c r="G723" s="9"/>
      <c r="H723" s="36">
        <v>18</v>
      </c>
      <c r="I723" s="34" t="s">
        <v>664</v>
      </c>
      <c r="J723" s="9"/>
    </row>
    <row r="724" spans="1:10">
      <c r="A724" s="32">
        <f t="shared" si="2"/>
        <v>723</v>
      </c>
      <c r="B724" s="33">
        <v>45208</v>
      </c>
      <c r="C724" s="9">
        <v>2523</v>
      </c>
      <c r="D724" s="9" t="s">
        <v>665</v>
      </c>
      <c r="E724" s="34">
        <v>16</v>
      </c>
      <c r="F724" s="35" t="str">
        <f>IFERROR(LOOKUP(E724,CODIGOS!A:A,CODIGOS!B:B)," ")</f>
        <v>LA CARTUJA</v>
      </c>
      <c r="G724" s="9"/>
      <c r="H724" s="36">
        <v>14</v>
      </c>
      <c r="I724" s="34"/>
      <c r="J724" s="9"/>
    </row>
    <row r="725" spans="1:10">
      <c r="A725" s="32">
        <f t="shared" si="2"/>
        <v>724</v>
      </c>
      <c r="B725" s="33">
        <v>45208</v>
      </c>
      <c r="C725" s="9">
        <v>1907</v>
      </c>
      <c r="D725" s="9" t="s">
        <v>666</v>
      </c>
      <c r="E725" s="34">
        <v>55</v>
      </c>
      <c r="F725" s="35">
        <f>IFERROR(LOOKUP(E725,CODIGOS!A:A,CODIGOS!B:B)," ")</f>
        <v>0</v>
      </c>
      <c r="G725" s="9"/>
      <c r="H725" s="36">
        <v>25</v>
      </c>
      <c r="I725" s="34" t="s">
        <v>371</v>
      </c>
      <c r="J725" s="9"/>
    </row>
    <row r="726" spans="1:10">
      <c r="A726" s="32">
        <f t="shared" si="2"/>
        <v>725</v>
      </c>
      <c r="B726" s="33">
        <v>45208</v>
      </c>
      <c r="C726" s="9">
        <v>2708</v>
      </c>
      <c r="D726" s="9" t="s">
        <v>667</v>
      </c>
      <c r="E726" s="34">
        <v>55</v>
      </c>
      <c r="F726" s="35">
        <f>IFERROR(LOOKUP(E726,CODIGOS!A:A,CODIGOS!B:B)," ")</f>
        <v>0</v>
      </c>
      <c r="G726" s="9"/>
      <c r="H726" s="36">
        <v>25</v>
      </c>
      <c r="I726" s="34" t="s">
        <v>371</v>
      </c>
      <c r="J726" s="9"/>
    </row>
    <row r="727" spans="1:10">
      <c r="A727" s="32">
        <f t="shared" si="2"/>
        <v>726</v>
      </c>
      <c r="B727" s="33">
        <v>45208</v>
      </c>
      <c r="C727" s="9">
        <v>2801</v>
      </c>
      <c r="D727" s="9" t="s">
        <v>650</v>
      </c>
      <c r="E727" s="34">
        <v>17</v>
      </c>
      <c r="F727" s="35" t="str">
        <f>IFERROR(LOOKUP(E727,CODIGOS!A:A,CODIGOS!B:B)," ")</f>
        <v>VISITA CASA DE LOS PISAS</v>
      </c>
      <c r="G727" s="9"/>
      <c r="H727" s="42">
        <v>15</v>
      </c>
      <c r="I727" s="34"/>
      <c r="J727" s="9"/>
    </row>
    <row r="728" spans="1:10">
      <c r="A728" s="32">
        <f t="shared" si="2"/>
        <v>727</v>
      </c>
      <c r="B728" s="33">
        <v>45208</v>
      </c>
      <c r="C728" s="9">
        <v>2684</v>
      </c>
      <c r="D728" s="9" t="s">
        <v>256</v>
      </c>
      <c r="E728" s="34">
        <v>17</v>
      </c>
      <c r="F728" s="35" t="str">
        <f>IFERROR(LOOKUP(E728,CODIGOS!A:A,CODIGOS!B:B)," ")</f>
        <v>VISITA CASA DE LOS PISAS</v>
      </c>
      <c r="G728" s="9"/>
      <c r="H728" s="42">
        <v>15</v>
      </c>
      <c r="I728" s="34"/>
      <c r="J728" s="9"/>
    </row>
    <row r="729" spans="1:10">
      <c r="A729" s="32">
        <f t="shared" si="2"/>
        <v>728</v>
      </c>
      <c r="B729" s="33">
        <v>45208</v>
      </c>
      <c r="C729" s="9" t="s">
        <v>668</v>
      </c>
      <c r="D729" s="9" t="s">
        <v>669</v>
      </c>
      <c r="E729" s="34">
        <v>16</v>
      </c>
      <c r="F729" s="35" t="str">
        <f>IFERROR(LOOKUP(E729,CODIGOS!A:A,CODIGOS!B:B)," ")</f>
        <v>LA CARTUJA</v>
      </c>
      <c r="G729" s="9"/>
      <c r="H729" s="36">
        <v>8</v>
      </c>
      <c r="I729" s="34"/>
      <c r="J729" s="9"/>
    </row>
    <row r="730" spans="1:10">
      <c r="A730" s="32">
        <f t="shared" si="2"/>
        <v>729</v>
      </c>
      <c r="B730" s="33">
        <v>45208</v>
      </c>
      <c r="C730" s="9">
        <v>2664</v>
      </c>
      <c r="D730" s="9" t="s">
        <v>670</v>
      </c>
      <c r="E730" s="34">
        <v>55</v>
      </c>
      <c r="F730" s="35">
        <f>IFERROR(LOOKUP(E730,CODIGOS!A:A,CODIGOS!B:B)," ")</f>
        <v>0</v>
      </c>
      <c r="G730" s="9"/>
      <c r="H730" s="36">
        <v>25</v>
      </c>
      <c r="I730" s="34" t="s">
        <v>371</v>
      </c>
      <c r="J730" s="9"/>
    </row>
    <row r="731" spans="1:10">
      <c r="A731" s="32">
        <f t="shared" si="2"/>
        <v>730</v>
      </c>
      <c r="B731" s="33">
        <v>45208</v>
      </c>
      <c r="C731" s="9">
        <v>2635</v>
      </c>
      <c r="D731" s="9" t="s">
        <v>671</v>
      </c>
      <c r="E731" s="34">
        <v>55</v>
      </c>
      <c r="F731" s="35">
        <f>IFERROR(LOOKUP(E731,CODIGOS!A:A,CODIGOS!B:B)," ")</f>
        <v>0</v>
      </c>
      <c r="G731" s="9"/>
      <c r="H731" s="36">
        <v>25</v>
      </c>
      <c r="I731" s="34" t="s">
        <v>371</v>
      </c>
      <c r="J731" s="9"/>
    </row>
    <row r="732" spans="1:10" ht="15">
      <c r="A732" s="32">
        <f t="shared" si="2"/>
        <v>731</v>
      </c>
      <c r="B732" s="33">
        <v>45208</v>
      </c>
      <c r="C732" s="9">
        <v>2602</v>
      </c>
      <c r="D732" s="9" t="s">
        <v>672</v>
      </c>
      <c r="E732" s="34">
        <v>55</v>
      </c>
      <c r="F732" s="35">
        <f>IFERROR(LOOKUP(E732,CODIGOS!A:A,CODIGOS!B:B)," ")</f>
        <v>0</v>
      </c>
      <c r="G732" s="9"/>
      <c r="H732" s="42">
        <v>25</v>
      </c>
      <c r="I732" s="5" t="s">
        <v>371</v>
      </c>
      <c r="J732" s="9"/>
    </row>
    <row r="733" spans="1:10" ht="15">
      <c r="A733" s="32">
        <f t="shared" si="2"/>
        <v>732</v>
      </c>
      <c r="B733" s="33">
        <v>45208</v>
      </c>
      <c r="C733" s="9">
        <v>2789</v>
      </c>
      <c r="D733" s="9" t="s">
        <v>673</v>
      </c>
      <c r="E733" s="34">
        <v>17</v>
      </c>
      <c r="F733" s="35" t="str">
        <f>IFERROR(LOOKUP(E733,CODIGOS!A:A,CODIGOS!B:B)," ")</f>
        <v>VISITA CASA DE LOS PISAS</v>
      </c>
      <c r="G733" s="9"/>
      <c r="H733" s="42">
        <v>15</v>
      </c>
      <c r="I733" s="5"/>
      <c r="J733" s="9"/>
    </row>
    <row r="734" spans="1:10" ht="15">
      <c r="A734" s="32">
        <f t="shared" si="2"/>
        <v>733</v>
      </c>
      <c r="B734" s="33">
        <v>45208</v>
      </c>
      <c r="C734" s="9">
        <v>2789</v>
      </c>
      <c r="D734" s="9" t="s">
        <v>673</v>
      </c>
      <c r="E734" s="34">
        <v>16</v>
      </c>
      <c r="F734" s="35" t="str">
        <f>IFERROR(LOOKUP(E734,CODIGOS!A:A,CODIGOS!B:B)," ")</f>
        <v>LA CARTUJA</v>
      </c>
      <c r="G734" s="9"/>
      <c r="H734" s="42">
        <v>8</v>
      </c>
      <c r="I734" s="5"/>
      <c r="J734" s="9"/>
    </row>
    <row r="735" spans="1:10" ht="15">
      <c r="A735" s="32">
        <f t="shared" si="2"/>
        <v>734</v>
      </c>
      <c r="B735" s="33">
        <v>45208</v>
      </c>
      <c r="C735" s="9">
        <v>2316</v>
      </c>
      <c r="D735" s="9" t="s">
        <v>674</v>
      </c>
      <c r="E735" s="34">
        <v>17</v>
      </c>
      <c r="F735" s="35" t="str">
        <f>IFERROR(LOOKUP(E735,CODIGOS!A:A,CODIGOS!B:B)," ")</f>
        <v>VISITA CASA DE LOS PISAS</v>
      </c>
      <c r="G735" s="9"/>
      <c r="H735" s="42">
        <v>15</v>
      </c>
      <c r="I735" s="5"/>
      <c r="J735" s="9"/>
    </row>
    <row r="736" spans="1:10" ht="15">
      <c r="A736" s="32">
        <f t="shared" si="2"/>
        <v>735</v>
      </c>
      <c r="B736" s="33">
        <v>45208</v>
      </c>
      <c r="C736" s="9">
        <v>2316</v>
      </c>
      <c r="D736" s="9" t="s">
        <v>674</v>
      </c>
      <c r="E736" s="34">
        <v>55</v>
      </c>
      <c r="F736" s="35">
        <f>IFERROR(LOOKUP(E736,CODIGOS!A:A,CODIGOS!B:B)," ")</f>
        <v>0</v>
      </c>
      <c r="G736" s="9"/>
      <c r="H736" s="42">
        <v>25</v>
      </c>
      <c r="I736" s="5" t="s">
        <v>371</v>
      </c>
      <c r="J736" s="9"/>
    </row>
    <row r="737" spans="1:10" ht="15">
      <c r="A737" s="32">
        <f t="shared" si="2"/>
        <v>736</v>
      </c>
      <c r="B737" s="33">
        <v>45208</v>
      </c>
      <c r="C737" s="9">
        <v>2802</v>
      </c>
      <c r="D737" s="9" t="s">
        <v>675</v>
      </c>
      <c r="E737" s="34">
        <v>17</v>
      </c>
      <c r="F737" s="35" t="str">
        <f>IFERROR(LOOKUP(E737,CODIGOS!A:A,CODIGOS!B:B)," ")</f>
        <v>VISITA CASA DE LOS PISAS</v>
      </c>
      <c r="G737" s="9"/>
      <c r="H737" s="42">
        <v>15</v>
      </c>
      <c r="I737" s="5"/>
      <c r="J737" s="9"/>
    </row>
    <row r="738" spans="1:10" ht="15">
      <c r="A738" s="32">
        <f t="shared" si="2"/>
        <v>737</v>
      </c>
      <c r="B738" s="33">
        <v>45208</v>
      </c>
      <c r="C738" s="9">
        <v>2414</v>
      </c>
      <c r="D738" s="9" t="s">
        <v>676</v>
      </c>
      <c r="E738" s="34">
        <v>17</v>
      </c>
      <c r="F738" s="35" t="str">
        <f>IFERROR(LOOKUP(E738,CODIGOS!A:A,CODIGOS!B:B)," ")</f>
        <v>VISITA CASA DE LOS PISAS</v>
      </c>
      <c r="G738" s="9"/>
      <c r="H738" s="42">
        <v>15</v>
      </c>
      <c r="I738" s="5"/>
      <c r="J738" s="9"/>
    </row>
    <row r="739" spans="1:10">
      <c r="A739" s="32">
        <f t="shared" si="2"/>
        <v>738</v>
      </c>
      <c r="B739" s="33">
        <v>45208</v>
      </c>
      <c r="C739" s="40">
        <v>2555</v>
      </c>
      <c r="D739" s="9" t="s">
        <v>677</v>
      </c>
      <c r="E739" s="34">
        <v>55</v>
      </c>
      <c r="F739" s="35">
        <f>IFERROR(LOOKUP(E739,CODIGOS!A:A,CODIGOS!B:B)," ")</f>
        <v>0</v>
      </c>
      <c r="G739" s="9"/>
      <c r="H739" s="36">
        <v>25</v>
      </c>
      <c r="I739" s="34" t="s">
        <v>11</v>
      </c>
      <c r="J739" s="9"/>
    </row>
    <row r="740" spans="1:10">
      <c r="A740" s="32">
        <f t="shared" si="2"/>
        <v>739</v>
      </c>
      <c r="B740" s="33">
        <v>45208</v>
      </c>
      <c r="C740" s="40">
        <v>2555</v>
      </c>
      <c r="D740" s="9" t="s">
        <v>677</v>
      </c>
      <c r="E740" s="34">
        <v>17</v>
      </c>
      <c r="F740" s="35" t="str">
        <f>IFERROR(LOOKUP(E740,CODIGOS!A:A,CODIGOS!B:B)," ")</f>
        <v>VISITA CASA DE LOS PISAS</v>
      </c>
      <c r="G740" s="9"/>
      <c r="H740" s="36">
        <v>15</v>
      </c>
      <c r="I740" s="34"/>
      <c r="J740" s="9"/>
    </row>
    <row r="741" spans="1:10">
      <c r="A741" s="32">
        <f t="shared" si="2"/>
        <v>740</v>
      </c>
      <c r="B741" s="33">
        <v>45208</v>
      </c>
      <c r="C741" s="40" t="s">
        <v>27</v>
      </c>
      <c r="D741" s="9" t="s">
        <v>678</v>
      </c>
      <c r="E741" s="34">
        <v>17</v>
      </c>
      <c r="F741" s="35" t="str">
        <f>IFERROR(LOOKUP(E741,CODIGOS!A:A,CODIGOS!B:B)," ")</f>
        <v>VISITA CASA DE LOS PISAS</v>
      </c>
      <c r="G741" s="9"/>
      <c r="H741" s="36">
        <v>20</v>
      </c>
      <c r="I741" s="34"/>
      <c r="J741" s="9"/>
    </row>
    <row r="742" spans="1:10">
      <c r="A742" s="32">
        <f t="shared" si="2"/>
        <v>741</v>
      </c>
      <c r="B742" s="33">
        <v>45208</v>
      </c>
      <c r="C742" s="40">
        <v>2291</v>
      </c>
      <c r="D742" s="9" t="s">
        <v>679</v>
      </c>
      <c r="E742" s="34">
        <v>55</v>
      </c>
      <c r="F742" s="35">
        <f>IFERROR(LOOKUP(E742,CODIGOS!A:A,CODIGOS!B:B)," ")</f>
        <v>0</v>
      </c>
      <c r="G742" s="9"/>
      <c r="H742" s="36">
        <v>25</v>
      </c>
      <c r="I742" s="34" t="s">
        <v>11</v>
      </c>
      <c r="J742" s="9"/>
    </row>
    <row r="743" spans="1:10">
      <c r="A743" s="32">
        <f t="shared" si="2"/>
        <v>742</v>
      </c>
      <c r="B743" s="33">
        <v>45208</v>
      </c>
      <c r="C743" s="40">
        <v>2462</v>
      </c>
      <c r="D743" s="9" t="s">
        <v>680</v>
      </c>
      <c r="E743" s="34">
        <v>55</v>
      </c>
      <c r="F743" s="35">
        <f>IFERROR(LOOKUP(E743,CODIGOS!A:A,CODIGOS!B:B)," ")</f>
        <v>0</v>
      </c>
      <c r="G743" s="9"/>
      <c r="H743" s="36">
        <v>25</v>
      </c>
      <c r="I743" s="34" t="s">
        <v>11</v>
      </c>
      <c r="J743" s="9"/>
    </row>
    <row r="744" spans="1:10">
      <c r="A744" s="32">
        <f t="shared" si="2"/>
        <v>743</v>
      </c>
      <c r="B744" s="33">
        <v>45208</v>
      </c>
      <c r="C744" s="9">
        <v>2397</v>
      </c>
      <c r="D744" s="9" t="s">
        <v>681</v>
      </c>
      <c r="E744" s="34">
        <v>55</v>
      </c>
      <c r="F744" s="35">
        <f>IFERROR(LOOKUP(E744,CODIGOS!A:A,CODIGOS!B:B)," ")</f>
        <v>0</v>
      </c>
      <c r="G744" s="9"/>
      <c r="H744" s="36">
        <v>25</v>
      </c>
      <c r="I744" s="34" t="s">
        <v>11</v>
      </c>
      <c r="J744" s="9"/>
    </row>
    <row r="745" spans="1:10">
      <c r="A745" s="32">
        <f t="shared" si="2"/>
        <v>744</v>
      </c>
      <c r="B745" s="33">
        <v>45208</v>
      </c>
      <c r="C745" s="9">
        <v>2629</v>
      </c>
      <c r="D745" s="9" t="s">
        <v>682</v>
      </c>
      <c r="E745" s="34">
        <v>16</v>
      </c>
      <c r="F745" s="35" t="str">
        <f>IFERROR(LOOKUP(E745,CODIGOS!A:A,CODIGOS!B:B)," ")</f>
        <v>LA CARTUJA</v>
      </c>
      <c r="G745" s="9"/>
      <c r="H745" s="36">
        <v>8</v>
      </c>
      <c r="I745" s="34"/>
      <c r="J745" s="9"/>
    </row>
    <row r="746" spans="1:10">
      <c r="A746" s="32">
        <f t="shared" si="2"/>
        <v>745</v>
      </c>
      <c r="B746" s="33">
        <v>45208</v>
      </c>
      <c r="C746" s="9">
        <v>2805</v>
      </c>
      <c r="D746" s="9" t="s">
        <v>683</v>
      </c>
      <c r="E746" s="34">
        <v>55</v>
      </c>
      <c r="F746" s="35">
        <f>IFERROR(LOOKUP(E746,CODIGOS!A:A,CODIGOS!B:B)," ")</f>
        <v>0</v>
      </c>
      <c r="G746" s="9"/>
      <c r="H746" s="36">
        <v>25</v>
      </c>
      <c r="I746" s="34" t="s">
        <v>11</v>
      </c>
      <c r="J746" s="9"/>
    </row>
    <row r="747" spans="1:10">
      <c r="A747" s="32">
        <f t="shared" si="2"/>
        <v>746</v>
      </c>
      <c r="B747" s="33">
        <v>45208</v>
      </c>
      <c r="C747" s="9">
        <v>2785</v>
      </c>
      <c r="D747" s="9" t="s">
        <v>684</v>
      </c>
      <c r="E747" s="34">
        <v>16</v>
      </c>
      <c r="F747" s="35" t="str">
        <f>IFERROR(LOOKUP(E747,CODIGOS!A:A,CODIGOS!B:B)," ")</f>
        <v>LA CARTUJA</v>
      </c>
      <c r="G747" s="9"/>
      <c r="H747" s="36">
        <v>8</v>
      </c>
      <c r="I747" s="34"/>
      <c r="J747" s="9"/>
    </row>
    <row r="748" spans="1:10">
      <c r="A748" s="32">
        <f t="shared" si="2"/>
        <v>747</v>
      </c>
      <c r="B748" s="33">
        <v>45208</v>
      </c>
      <c r="C748" s="9">
        <v>2692</v>
      </c>
      <c r="D748" s="9" t="s">
        <v>685</v>
      </c>
      <c r="E748" s="34">
        <v>55</v>
      </c>
      <c r="F748" s="35">
        <f>IFERROR(LOOKUP(E748,CODIGOS!A:A,CODIGOS!B:B)," ")</f>
        <v>0</v>
      </c>
      <c r="G748" s="9"/>
      <c r="H748" s="36">
        <v>25</v>
      </c>
      <c r="I748" s="34" t="s">
        <v>11</v>
      </c>
      <c r="J748" s="9"/>
    </row>
    <row r="749" spans="1:10">
      <c r="A749" s="32">
        <f t="shared" si="2"/>
        <v>748</v>
      </c>
      <c r="B749" s="33">
        <v>45208</v>
      </c>
      <c r="C749" s="9">
        <v>2673</v>
      </c>
      <c r="D749" s="9" t="s">
        <v>686</v>
      </c>
      <c r="E749" s="34">
        <v>55</v>
      </c>
      <c r="F749" s="35">
        <f>IFERROR(LOOKUP(E749,CODIGOS!A:A,CODIGOS!B:B)," ")</f>
        <v>0</v>
      </c>
      <c r="G749" s="9"/>
      <c r="H749" s="36">
        <v>25</v>
      </c>
      <c r="I749" s="34" t="s">
        <v>11</v>
      </c>
      <c r="J749" s="9"/>
    </row>
    <row r="750" spans="1:10">
      <c r="A750" s="32">
        <f t="shared" si="2"/>
        <v>749</v>
      </c>
      <c r="B750" s="33">
        <v>45208</v>
      </c>
      <c r="C750" s="9">
        <v>2788</v>
      </c>
      <c r="D750" s="9" t="s">
        <v>687</v>
      </c>
      <c r="E750" s="34">
        <v>16</v>
      </c>
      <c r="F750" s="35" t="str">
        <f>IFERROR(LOOKUP(E750,CODIGOS!A:A,CODIGOS!B:B)," ")</f>
        <v>LA CARTUJA</v>
      </c>
      <c r="G750" s="9"/>
      <c r="H750" s="36">
        <v>8</v>
      </c>
      <c r="I750" s="34"/>
      <c r="J750" s="9"/>
    </row>
    <row r="751" spans="1:10">
      <c r="A751" s="32">
        <f t="shared" si="2"/>
        <v>750</v>
      </c>
      <c r="B751" s="33">
        <v>45208</v>
      </c>
      <c r="C751" s="9">
        <v>2697</v>
      </c>
      <c r="D751" s="9" t="s">
        <v>688</v>
      </c>
      <c r="E751" s="34">
        <v>55</v>
      </c>
      <c r="F751" s="35">
        <f>IFERROR(LOOKUP(E751,CODIGOS!A:A,CODIGOS!B:B)," ")</f>
        <v>0</v>
      </c>
      <c r="G751" s="9"/>
      <c r="H751" s="36">
        <v>25</v>
      </c>
      <c r="I751" s="34" t="s">
        <v>11</v>
      </c>
      <c r="J751" s="9"/>
    </row>
    <row r="752" spans="1:10">
      <c r="A752" s="32">
        <f t="shared" si="2"/>
        <v>751</v>
      </c>
      <c r="B752" s="33">
        <v>45208</v>
      </c>
      <c r="C752" s="9">
        <v>2699</v>
      </c>
      <c r="D752" s="9" t="s">
        <v>689</v>
      </c>
      <c r="E752" s="34">
        <v>55</v>
      </c>
      <c r="F752" s="35">
        <f>IFERROR(LOOKUP(E752,CODIGOS!A:A,CODIGOS!B:B)," ")</f>
        <v>0</v>
      </c>
      <c r="G752" s="9"/>
      <c r="H752" s="36">
        <v>25</v>
      </c>
      <c r="I752" s="34" t="s">
        <v>11</v>
      </c>
      <c r="J752" s="9"/>
    </row>
    <row r="753" spans="1:10">
      <c r="A753" s="32">
        <f t="shared" si="2"/>
        <v>752</v>
      </c>
      <c r="B753" s="33">
        <v>45208</v>
      </c>
      <c r="C753" s="9">
        <v>2434</v>
      </c>
      <c r="D753" s="9" t="s">
        <v>345</v>
      </c>
      <c r="E753" s="34">
        <v>55</v>
      </c>
      <c r="F753" s="35">
        <f>IFERROR(LOOKUP(E753,CODIGOS!A:A,CODIGOS!B:B)," ")</f>
        <v>0</v>
      </c>
      <c r="G753" s="9"/>
      <c r="H753" s="36">
        <v>25</v>
      </c>
      <c r="I753" s="34" t="s">
        <v>11</v>
      </c>
      <c r="J753" s="9"/>
    </row>
    <row r="754" spans="1:10">
      <c r="A754" s="32">
        <f t="shared" si="2"/>
        <v>753</v>
      </c>
      <c r="B754" s="33">
        <v>45208</v>
      </c>
      <c r="C754" s="9">
        <v>2435</v>
      </c>
      <c r="D754" s="9" t="s">
        <v>346</v>
      </c>
      <c r="E754" s="34">
        <v>55</v>
      </c>
      <c r="F754" s="35">
        <f>IFERROR(LOOKUP(E754,CODIGOS!A:A,CODIGOS!B:B)," ")</f>
        <v>0</v>
      </c>
      <c r="G754" s="9"/>
      <c r="H754" s="36">
        <v>25</v>
      </c>
      <c r="I754" s="34" t="s">
        <v>11</v>
      </c>
      <c r="J754" s="9"/>
    </row>
    <row r="755" spans="1:10">
      <c r="A755" s="32">
        <f t="shared" si="2"/>
        <v>754</v>
      </c>
      <c r="B755" s="33">
        <v>45208</v>
      </c>
      <c r="C755" s="9">
        <v>2735</v>
      </c>
      <c r="D755" s="9" t="s">
        <v>690</v>
      </c>
      <c r="E755" s="34">
        <v>17</v>
      </c>
      <c r="F755" s="35" t="str">
        <f>IFERROR(LOOKUP(E755,CODIGOS!A:A,CODIGOS!B:B)," ")</f>
        <v>VISITA CASA DE LOS PISAS</v>
      </c>
      <c r="G755" s="9"/>
      <c r="H755" s="42">
        <v>15</v>
      </c>
      <c r="I755" s="34" t="s">
        <v>11</v>
      </c>
      <c r="J755" s="9"/>
    </row>
    <row r="756" spans="1:10">
      <c r="A756" s="32">
        <f t="shared" si="2"/>
        <v>755</v>
      </c>
      <c r="B756" s="33">
        <v>45208</v>
      </c>
      <c r="C756" s="9">
        <v>2806</v>
      </c>
      <c r="D756" s="9" t="s">
        <v>691</v>
      </c>
      <c r="E756" s="34">
        <v>55</v>
      </c>
      <c r="F756" s="35">
        <f>IFERROR(LOOKUP(E756,CODIGOS!A:A,CODIGOS!B:B)," ")</f>
        <v>0</v>
      </c>
      <c r="G756" s="9"/>
      <c r="H756" s="42">
        <v>25</v>
      </c>
      <c r="I756" s="34" t="s">
        <v>11</v>
      </c>
      <c r="J756" s="9"/>
    </row>
    <row r="757" spans="1:10">
      <c r="A757" s="32">
        <f t="shared" si="2"/>
        <v>756</v>
      </c>
      <c r="B757" s="33">
        <v>45208</v>
      </c>
      <c r="C757" s="9">
        <v>2757</v>
      </c>
      <c r="D757" s="9" t="s">
        <v>692</v>
      </c>
      <c r="E757" s="34">
        <v>17</v>
      </c>
      <c r="F757" s="35" t="str">
        <f>IFERROR(LOOKUP(E757,CODIGOS!A:A,CODIGOS!B:B)," ")</f>
        <v>VISITA CASA DE LOS PISAS</v>
      </c>
      <c r="G757" s="9"/>
      <c r="H757" s="36">
        <v>15</v>
      </c>
      <c r="I757" s="34"/>
      <c r="J757" s="9"/>
    </row>
    <row r="758" spans="1:10">
      <c r="A758" s="32">
        <f t="shared" si="2"/>
        <v>757</v>
      </c>
      <c r="B758" s="33">
        <v>45208</v>
      </c>
      <c r="C758" s="9" t="s">
        <v>693</v>
      </c>
      <c r="D758" s="9" t="s">
        <v>694</v>
      </c>
      <c r="E758" s="34">
        <v>17</v>
      </c>
      <c r="F758" s="35" t="str">
        <f>IFERROR(LOOKUP(E758,CODIGOS!A:A,CODIGOS!B:B)," ")</f>
        <v>VISITA CASA DE LOS PISAS</v>
      </c>
      <c r="G758" s="9"/>
      <c r="H758" s="36">
        <v>20</v>
      </c>
      <c r="I758" s="34"/>
      <c r="J758" s="9"/>
    </row>
    <row r="759" spans="1:10">
      <c r="A759" s="32">
        <f t="shared" si="2"/>
        <v>758</v>
      </c>
      <c r="B759" s="33">
        <v>45208</v>
      </c>
      <c r="C759" s="9">
        <v>2807</v>
      </c>
      <c r="D759" s="9" t="s">
        <v>695</v>
      </c>
      <c r="E759" s="34">
        <v>55</v>
      </c>
      <c r="F759" s="35">
        <f>IFERROR(LOOKUP(E759,CODIGOS!A:A,CODIGOS!B:B)," ")</f>
        <v>0</v>
      </c>
      <c r="G759" s="9"/>
      <c r="H759" s="36">
        <v>25</v>
      </c>
      <c r="I759" s="34" t="s">
        <v>11</v>
      </c>
      <c r="J759" s="9"/>
    </row>
    <row r="760" spans="1:10">
      <c r="A760" s="32">
        <f t="shared" si="2"/>
        <v>759</v>
      </c>
      <c r="B760" s="33">
        <v>45208</v>
      </c>
      <c r="C760" s="9">
        <v>2752</v>
      </c>
      <c r="D760" s="9" t="s">
        <v>696</v>
      </c>
      <c r="E760" s="34">
        <v>16</v>
      </c>
      <c r="F760" s="35" t="str">
        <f>IFERROR(LOOKUP(E760,CODIGOS!A:A,CODIGOS!B:B)," ")</f>
        <v>LA CARTUJA</v>
      </c>
      <c r="G760" s="9"/>
      <c r="H760" s="36">
        <v>8</v>
      </c>
      <c r="I760" s="34"/>
      <c r="J760" s="9"/>
    </row>
    <row r="761" spans="1:10">
      <c r="A761" s="32">
        <f t="shared" si="2"/>
        <v>760</v>
      </c>
      <c r="B761" s="33">
        <v>45208</v>
      </c>
      <c r="C761" s="9">
        <v>2668</v>
      </c>
      <c r="D761" s="9" t="s">
        <v>697</v>
      </c>
      <c r="E761" s="34">
        <v>55</v>
      </c>
      <c r="F761" s="35">
        <f>IFERROR(LOOKUP(E761,CODIGOS!A:A,CODIGOS!B:B)," ")</f>
        <v>0</v>
      </c>
      <c r="G761" s="9"/>
      <c r="H761" s="36">
        <v>25</v>
      </c>
      <c r="I761" s="34" t="s">
        <v>11</v>
      </c>
      <c r="J761" s="9"/>
    </row>
    <row r="762" spans="1:10">
      <c r="A762" s="32">
        <f t="shared" si="2"/>
        <v>761</v>
      </c>
      <c r="B762" s="33">
        <v>45208</v>
      </c>
      <c r="C762" s="9">
        <v>2554</v>
      </c>
      <c r="D762" s="9" t="s">
        <v>698</v>
      </c>
      <c r="E762" s="34">
        <v>55</v>
      </c>
      <c r="F762" s="35">
        <f>IFERROR(LOOKUP(E762,CODIGOS!A:A,CODIGOS!B:B)," ")</f>
        <v>0</v>
      </c>
      <c r="G762" s="9"/>
      <c r="H762" s="36">
        <v>25</v>
      </c>
      <c r="I762" s="34" t="s">
        <v>11</v>
      </c>
      <c r="J762" s="9"/>
    </row>
    <row r="763" spans="1:10">
      <c r="A763" s="32">
        <f t="shared" si="2"/>
        <v>762</v>
      </c>
      <c r="B763" s="33">
        <v>45208</v>
      </c>
      <c r="C763" s="9">
        <v>2669</v>
      </c>
      <c r="D763" s="9" t="s">
        <v>699</v>
      </c>
      <c r="E763" s="34">
        <v>55</v>
      </c>
      <c r="F763" s="35">
        <f>IFERROR(LOOKUP(E763,CODIGOS!A:A,CODIGOS!B:B)," ")</f>
        <v>0</v>
      </c>
      <c r="G763" s="9"/>
      <c r="H763" s="36">
        <v>25</v>
      </c>
      <c r="I763" s="34" t="s">
        <v>11</v>
      </c>
      <c r="J763" s="9"/>
    </row>
    <row r="764" spans="1:10">
      <c r="A764" s="32">
        <f t="shared" si="2"/>
        <v>763</v>
      </c>
      <c r="B764" s="33">
        <v>45208</v>
      </c>
      <c r="C764" s="9">
        <v>2809</v>
      </c>
      <c r="D764" s="9" t="s">
        <v>700</v>
      </c>
      <c r="E764" s="34">
        <v>55</v>
      </c>
      <c r="F764" s="35">
        <f>IFERROR(LOOKUP(E764,CODIGOS!A:A,CODIGOS!B:B)," ")</f>
        <v>0</v>
      </c>
      <c r="G764" s="9"/>
      <c r="H764" s="36">
        <v>25</v>
      </c>
      <c r="I764" s="34" t="s">
        <v>11</v>
      </c>
      <c r="J764" s="9"/>
    </row>
    <row r="765" spans="1:10">
      <c r="A765" s="32">
        <f t="shared" si="2"/>
        <v>764</v>
      </c>
      <c r="B765" s="33">
        <v>45208</v>
      </c>
      <c r="C765" s="9">
        <v>2808</v>
      </c>
      <c r="D765" s="9" t="s">
        <v>701</v>
      </c>
      <c r="E765" s="34">
        <v>55</v>
      </c>
      <c r="F765" s="35">
        <f>IFERROR(LOOKUP(E765,CODIGOS!A:A,CODIGOS!B:B)," ")</f>
        <v>0</v>
      </c>
      <c r="G765" s="9"/>
      <c r="H765" s="36">
        <v>25</v>
      </c>
      <c r="I765" s="34" t="s">
        <v>11</v>
      </c>
      <c r="J765" s="9"/>
    </row>
    <row r="766" spans="1:10">
      <c r="A766" s="32">
        <f t="shared" si="2"/>
        <v>765</v>
      </c>
      <c r="B766" s="33">
        <v>45208</v>
      </c>
      <c r="C766" s="9">
        <v>2810</v>
      </c>
      <c r="D766" s="9" t="s">
        <v>702</v>
      </c>
      <c r="E766" s="34">
        <v>55</v>
      </c>
      <c r="F766" s="35">
        <f>IFERROR(LOOKUP(E766,CODIGOS!A:A,CODIGOS!B:B)," ")</f>
        <v>0</v>
      </c>
      <c r="G766" s="9"/>
      <c r="H766" s="36">
        <v>25</v>
      </c>
      <c r="I766" s="34" t="s">
        <v>11</v>
      </c>
      <c r="J766" s="9"/>
    </row>
    <row r="767" spans="1:10">
      <c r="A767" s="32">
        <f t="shared" si="2"/>
        <v>766</v>
      </c>
      <c r="B767" s="33">
        <v>45208</v>
      </c>
      <c r="C767" s="9">
        <v>2811</v>
      </c>
      <c r="D767" s="9" t="s">
        <v>703</v>
      </c>
      <c r="E767" s="34">
        <v>55</v>
      </c>
      <c r="F767" s="35">
        <f>IFERROR(LOOKUP(E767,CODIGOS!A:A,CODIGOS!B:B)," ")</f>
        <v>0</v>
      </c>
      <c r="G767" s="9"/>
      <c r="H767" s="36">
        <v>25</v>
      </c>
      <c r="I767" s="34" t="s">
        <v>11</v>
      </c>
      <c r="J767" s="9"/>
    </row>
    <row r="768" spans="1:10">
      <c r="A768" s="32">
        <f t="shared" si="2"/>
        <v>767</v>
      </c>
      <c r="B768" s="33">
        <v>45208</v>
      </c>
      <c r="C768" s="9">
        <v>2812</v>
      </c>
      <c r="D768" s="9" t="s">
        <v>704</v>
      </c>
      <c r="E768" s="34">
        <v>55</v>
      </c>
      <c r="F768" s="35">
        <f>IFERROR(LOOKUP(E768,CODIGOS!A:A,CODIGOS!B:B)," ")</f>
        <v>0</v>
      </c>
      <c r="G768" s="9"/>
      <c r="H768" s="36">
        <v>25</v>
      </c>
      <c r="I768" s="34" t="s">
        <v>11</v>
      </c>
      <c r="J768" s="9"/>
    </row>
    <row r="769" spans="1:10">
      <c r="A769" s="32">
        <f t="shared" si="2"/>
        <v>768</v>
      </c>
      <c r="B769" s="33">
        <v>45208</v>
      </c>
      <c r="C769" s="9">
        <v>2813</v>
      </c>
      <c r="D769" s="9" t="s">
        <v>705</v>
      </c>
      <c r="E769" s="34">
        <v>55</v>
      </c>
      <c r="F769" s="35">
        <f>IFERROR(LOOKUP(E769,CODIGOS!A:A,CODIGOS!B:B)," ")</f>
        <v>0</v>
      </c>
      <c r="G769" s="9"/>
      <c r="H769" s="36">
        <v>25</v>
      </c>
      <c r="I769" s="34" t="s">
        <v>11</v>
      </c>
      <c r="J769" s="9"/>
    </row>
    <row r="770" spans="1:10">
      <c r="A770" s="32">
        <f t="shared" si="2"/>
        <v>769</v>
      </c>
      <c r="B770" s="33">
        <v>45208</v>
      </c>
      <c r="C770" s="9">
        <v>2816</v>
      </c>
      <c r="D770" s="9" t="s">
        <v>706</v>
      </c>
      <c r="E770" s="34">
        <v>55</v>
      </c>
      <c r="F770" s="35">
        <f>IFERROR(LOOKUP(E770,CODIGOS!A:A,CODIGOS!B:B)," ")</f>
        <v>0</v>
      </c>
      <c r="G770" s="9"/>
      <c r="H770" s="36">
        <v>25</v>
      </c>
      <c r="I770" s="34" t="s">
        <v>11</v>
      </c>
      <c r="J770" s="9"/>
    </row>
    <row r="771" spans="1:10">
      <c r="A771" s="32">
        <f t="shared" si="2"/>
        <v>770</v>
      </c>
      <c r="B771" s="33">
        <v>45208</v>
      </c>
      <c r="C771" s="9">
        <v>2814</v>
      </c>
      <c r="D771" s="9" t="s">
        <v>707</v>
      </c>
      <c r="E771" s="34">
        <v>55</v>
      </c>
      <c r="F771" s="35">
        <f>IFERROR(LOOKUP(E771,CODIGOS!A:A,CODIGOS!B:B)," ")</f>
        <v>0</v>
      </c>
      <c r="G771" s="9"/>
      <c r="H771" s="36">
        <v>25</v>
      </c>
      <c r="I771" s="34" t="s">
        <v>11</v>
      </c>
      <c r="J771" s="9"/>
    </row>
    <row r="772" spans="1:10">
      <c r="A772" s="32">
        <f t="shared" si="2"/>
        <v>771</v>
      </c>
      <c r="B772" s="33">
        <v>45208</v>
      </c>
      <c r="C772" s="9">
        <v>2815</v>
      </c>
      <c r="D772" s="9" t="s">
        <v>708</v>
      </c>
      <c r="E772" s="34">
        <v>55</v>
      </c>
      <c r="F772" s="35">
        <f>IFERROR(LOOKUP(E772,CODIGOS!A:A,CODIGOS!B:B)," ")</f>
        <v>0</v>
      </c>
      <c r="G772" s="9"/>
      <c r="H772" s="36">
        <v>25</v>
      </c>
      <c r="I772" s="34" t="s">
        <v>11</v>
      </c>
      <c r="J772" s="9"/>
    </row>
    <row r="773" spans="1:10">
      <c r="A773" s="32">
        <f t="shared" si="2"/>
        <v>772</v>
      </c>
      <c r="B773" s="33">
        <v>45209</v>
      </c>
      <c r="C773" s="40">
        <v>2498</v>
      </c>
      <c r="D773" s="9" t="s">
        <v>709</v>
      </c>
      <c r="E773" s="34">
        <v>16</v>
      </c>
      <c r="F773" s="35" t="str">
        <f>IFERROR(LOOKUP(E773,CODIGOS!A:A,CODIGOS!B:B)," ")</f>
        <v>LA CARTUJA</v>
      </c>
      <c r="G773" s="9"/>
      <c r="H773" s="36">
        <v>8</v>
      </c>
      <c r="I773" s="34"/>
      <c r="J773" s="9"/>
    </row>
    <row r="774" spans="1:10">
      <c r="A774" s="32">
        <f t="shared" si="2"/>
        <v>773</v>
      </c>
      <c r="B774" s="33">
        <v>45209</v>
      </c>
      <c r="C774" s="40"/>
      <c r="D774" s="9" t="s">
        <v>710</v>
      </c>
      <c r="E774" s="34">
        <v>16</v>
      </c>
      <c r="F774" s="35" t="str">
        <f>IFERROR(LOOKUP(E774,CODIGOS!A:A,CODIGOS!B:B)," ")</f>
        <v>LA CARTUJA</v>
      </c>
      <c r="G774" s="9"/>
      <c r="H774" s="36">
        <v>12</v>
      </c>
      <c r="I774" s="34"/>
      <c r="J774" s="9"/>
    </row>
    <row r="775" spans="1:10">
      <c r="A775" s="32">
        <f t="shared" si="2"/>
        <v>774</v>
      </c>
      <c r="B775" s="33">
        <v>45209</v>
      </c>
      <c r="C775" s="40">
        <v>2252</v>
      </c>
      <c r="D775" s="9" t="s">
        <v>711</v>
      </c>
      <c r="E775" s="34">
        <v>55</v>
      </c>
      <c r="F775" s="35">
        <f>IFERROR(LOOKUP(E775,CODIGOS!A:A,CODIGOS!B:B)," ")</f>
        <v>0</v>
      </c>
      <c r="G775" s="9"/>
      <c r="H775" s="36">
        <v>25</v>
      </c>
      <c r="I775" s="34" t="s">
        <v>11</v>
      </c>
      <c r="J775" s="9"/>
    </row>
    <row r="776" spans="1:10">
      <c r="A776" s="32">
        <f t="shared" si="2"/>
        <v>775</v>
      </c>
      <c r="B776" s="33">
        <v>45209</v>
      </c>
      <c r="C776" s="40">
        <v>2817</v>
      </c>
      <c r="D776" s="9" t="s">
        <v>712</v>
      </c>
      <c r="E776" s="34">
        <v>55</v>
      </c>
      <c r="F776" s="35">
        <f>IFERROR(LOOKUP(E776,CODIGOS!A:A,CODIGOS!B:B)," ")</f>
        <v>0</v>
      </c>
      <c r="G776" s="9"/>
      <c r="H776" s="36">
        <v>25</v>
      </c>
      <c r="I776" s="34" t="s">
        <v>11</v>
      </c>
      <c r="J776" s="9"/>
    </row>
    <row r="777" spans="1:10">
      <c r="A777" s="32">
        <f t="shared" si="2"/>
        <v>776</v>
      </c>
      <c r="B777" s="33">
        <v>45209</v>
      </c>
      <c r="C777" s="40">
        <v>2482</v>
      </c>
      <c r="D777" s="9" t="s">
        <v>470</v>
      </c>
      <c r="E777" s="34">
        <v>16</v>
      </c>
      <c r="F777" s="35" t="str">
        <f>IFERROR(LOOKUP(E777,CODIGOS!A:A,CODIGOS!B:B)," ")</f>
        <v>LA CARTUJA</v>
      </c>
      <c r="G777" s="9"/>
      <c r="H777" s="36">
        <v>8</v>
      </c>
      <c r="I777" s="34"/>
      <c r="J777" s="9"/>
    </row>
    <row r="778" spans="1:10">
      <c r="A778" s="32">
        <f t="shared" si="2"/>
        <v>777</v>
      </c>
      <c r="B778" s="33">
        <v>45209</v>
      </c>
      <c r="C778" s="9" t="s">
        <v>713</v>
      </c>
      <c r="D778" s="9" t="s">
        <v>714</v>
      </c>
      <c r="E778" s="34">
        <v>16</v>
      </c>
      <c r="F778" s="35" t="str">
        <f>IFERROR(LOOKUP(E778,CODIGOS!A:A,CODIGOS!B:B)," ")</f>
        <v>LA CARTUJA</v>
      </c>
      <c r="G778" s="9"/>
      <c r="H778" s="36">
        <v>12</v>
      </c>
      <c r="I778" s="34"/>
      <c r="J778" s="9"/>
    </row>
    <row r="779" spans="1:10">
      <c r="A779" s="32">
        <f t="shared" si="2"/>
        <v>778</v>
      </c>
      <c r="B779" s="33">
        <v>45209</v>
      </c>
      <c r="C779" s="9">
        <v>2482</v>
      </c>
      <c r="D779" s="9" t="s">
        <v>470</v>
      </c>
      <c r="E779" s="34">
        <v>15</v>
      </c>
      <c r="F779" s="35" t="str">
        <f>IFERROR(LOOKUP(E779,CODIGOS!A:A,CODIGOS!B:B)," ")</f>
        <v>MUSEO SAN JUAN DE DIOS CP</v>
      </c>
      <c r="G779" s="9"/>
      <c r="H779" s="36">
        <v>6</v>
      </c>
      <c r="I779" s="34"/>
      <c r="J779" s="9"/>
    </row>
    <row r="780" spans="1:10">
      <c r="A780" s="32">
        <f t="shared" si="2"/>
        <v>779</v>
      </c>
      <c r="B780" s="33">
        <v>45209</v>
      </c>
      <c r="C780" s="9">
        <v>2818</v>
      </c>
      <c r="D780" s="9" t="s">
        <v>715</v>
      </c>
      <c r="E780" s="34">
        <v>55</v>
      </c>
      <c r="F780" s="35">
        <f>IFERROR(LOOKUP(E780,CODIGOS!A:A,CODIGOS!B:B)," ")</f>
        <v>0</v>
      </c>
      <c r="G780" s="9"/>
      <c r="H780" s="36">
        <v>25</v>
      </c>
      <c r="I780" s="34" t="s">
        <v>11</v>
      </c>
      <c r="J780" s="9"/>
    </row>
    <row r="781" spans="1:10">
      <c r="A781" s="32">
        <f t="shared" si="2"/>
        <v>780</v>
      </c>
      <c r="B781" s="33">
        <v>45209</v>
      </c>
      <c r="C781" s="9">
        <v>2819</v>
      </c>
      <c r="D781" s="9" t="s">
        <v>716</v>
      </c>
      <c r="E781" s="34">
        <v>55</v>
      </c>
      <c r="F781" s="35">
        <f>IFERROR(LOOKUP(E781,CODIGOS!A:A,CODIGOS!B:B)," ")</f>
        <v>0</v>
      </c>
      <c r="G781" s="9"/>
      <c r="H781" s="36">
        <v>25</v>
      </c>
      <c r="I781" s="34" t="s">
        <v>11</v>
      </c>
      <c r="J781" s="9"/>
    </row>
    <row r="782" spans="1:10">
      <c r="A782" s="32">
        <f t="shared" si="2"/>
        <v>781</v>
      </c>
      <c r="B782" s="33">
        <v>45209</v>
      </c>
      <c r="C782" s="9">
        <v>2820</v>
      </c>
      <c r="D782" s="9" t="s">
        <v>717</v>
      </c>
      <c r="E782" s="34">
        <v>55</v>
      </c>
      <c r="F782" s="35">
        <f>IFERROR(LOOKUP(E782,CODIGOS!A:A,CODIGOS!B:B)," ")</f>
        <v>0</v>
      </c>
      <c r="G782" s="9"/>
      <c r="H782" s="36">
        <v>25</v>
      </c>
      <c r="I782" s="34" t="s">
        <v>11</v>
      </c>
      <c r="J782" s="9"/>
    </row>
    <row r="783" spans="1:10">
      <c r="A783" s="32">
        <f t="shared" ref="A783:A846" si="3">IF(B783&lt;&gt;0,A782+1," ")</f>
        <v>782</v>
      </c>
      <c r="B783" s="33">
        <v>45209</v>
      </c>
      <c r="C783" s="9">
        <v>2290</v>
      </c>
      <c r="D783" s="9" t="s">
        <v>718</v>
      </c>
      <c r="E783" s="34">
        <v>55</v>
      </c>
      <c r="F783" s="35">
        <f>IFERROR(LOOKUP(E783,CODIGOS!A:A,CODIGOS!B:B)," ")</f>
        <v>0</v>
      </c>
      <c r="G783" s="9"/>
      <c r="H783" s="36">
        <v>25</v>
      </c>
      <c r="I783" s="34" t="s">
        <v>11</v>
      </c>
      <c r="J783" s="9"/>
    </row>
    <row r="784" spans="1:10">
      <c r="A784" s="32">
        <f t="shared" si="3"/>
        <v>783</v>
      </c>
      <c r="B784" s="33">
        <v>45209</v>
      </c>
      <c r="C784" s="9">
        <v>2774</v>
      </c>
      <c r="D784" s="9" t="s">
        <v>567</v>
      </c>
      <c r="E784" s="34">
        <v>17</v>
      </c>
      <c r="F784" s="35" t="str">
        <f>IFERROR(LOOKUP(E784,CODIGOS!A:A,CODIGOS!B:B)," ")</f>
        <v>VISITA CASA DE LOS PISAS</v>
      </c>
      <c r="G784" s="9"/>
      <c r="H784" s="36">
        <v>15</v>
      </c>
      <c r="I784" s="34"/>
      <c r="J784" s="9"/>
    </row>
    <row r="785" spans="1:10">
      <c r="A785" s="32">
        <f t="shared" si="3"/>
        <v>784</v>
      </c>
      <c r="B785" s="33">
        <v>45209</v>
      </c>
      <c r="C785" s="9">
        <v>2596</v>
      </c>
      <c r="D785" s="9" t="s">
        <v>344</v>
      </c>
      <c r="E785" s="34">
        <v>16</v>
      </c>
      <c r="F785" s="35" t="str">
        <f>IFERROR(LOOKUP(E785,CODIGOS!A:A,CODIGOS!B:B)," ")</f>
        <v>LA CARTUJA</v>
      </c>
      <c r="G785" s="9"/>
      <c r="H785" s="36">
        <v>8</v>
      </c>
      <c r="I785" s="34"/>
      <c r="J785" s="9"/>
    </row>
    <row r="786" spans="1:10">
      <c r="A786" s="32">
        <f t="shared" si="3"/>
        <v>785</v>
      </c>
      <c r="B786" s="33">
        <v>45209</v>
      </c>
      <c r="C786" s="9">
        <v>2796</v>
      </c>
      <c r="D786" s="9" t="s">
        <v>719</v>
      </c>
      <c r="E786" s="34">
        <v>16</v>
      </c>
      <c r="F786" s="35" t="str">
        <f>IFERROR(LOOKUP(E786,CODIGOS!A:A,CODIGOS!B:B)," ")</f>
        <v>LA CARTUJA</v>
      </c>
      <c r="G786" s="9"/>
      <c r="H786" s="36">
        <v>8</v>
      </c>
      <c r="I786" s="34"/>
      <c r="J786" s="9"/>
    </row>
    <row r="787" spans="1:10">
      <c r="A787" s="32">
        <f t="shared" si="3"/>
        <v>786</v>
      </c>
      <c r="B787" s="33">
        <v>45210</v>
      </c>
      <c r="C787" s="40">
        <v>2821</v>
      </c>
      <c r="D787" s="9" t="s">
        <v>720</v>
      </c>
      <c r="E787" s="34">
        <v>55</v>
      </c>
      <c r="F787" s="35">
        <f>IFERROR(LOOKUP(E787,CODIGOS!A:A,CODIGOS!B:B)," ")</f>
        <v>0</v>
      </c>
      <c r="G787" s="9"/>
      <c r="H787" s="36">
        <v>25</v>
      </c>
      <c r="I787" s="34" t="s">
        <v>11</v>
      </c>
      <c r="J787" s="9"/>
    </row>
    <row r="788" spans="1:10">
      <c r="A788" s="32">
        <f t="shared" si="3"/>
        <v>787</v>
      </c>
      <c r="B788" s="33">
        <v>45210</v>
      </c>
      <c r="C788" s="40">
        <v>2822</v>
      </c>
      <c r="D788" s="9" t="s">
        <v>721</v>
      </c>
      <c r="E788" s="34">
        <v>55</v>
      </c>
      <c r="F788" s="35">
        <f>IFERROR(LOOKUP(E788,CODIGOS!A:A,CODIGOS!B:B)," ")</f>
        <v>0</v>
      </c>
      <c r="G788" s="9"/>
      <c r="H788" s="36">
        <v>25</v>
      </c>
      <c r="I788" s="34" t="s">
        <v>11</v>
      </c>
      <c r="J788" s="9"/>
    </row>
    <row r="789" spans="1:10">
      <c r="A789" s="32">
        <f t="shared" si="3"/>
        <v>788</v>
      </c>
      <c r="B789" s="33">
        <v>45210</v>
      </c>
      <c r="C789" s="40">
        <v>2098</v>
      </c>
      <c r="D789" s="9" t="s">
        <v>722</v>
      </c>
      <c r="E789" s="34">
        <v>55</v>
      </c>
      <c r="F789" s="35">
        <f>IFERROR(LOOKUP(E789,CODIGOS!A:A,CODIGOS!B:B)," ")</f>
        <v>0</v>
      </c>
      <c r="G789" s="9"/>
      <c r="H789" s="36">
        <v>25</v>
      </c>
      <c r="I789" s="34" t="s">
        <v>11</v>
      </c>
      <c r="J789" s="9"/>
    </row>
    <row r="790" spans="1:10">
      <c r="A790" s="32">
        <f t="shared" si="3"/>
        <v>789</v>
      </c>
      <c r="B790" s="33">
        <v>45210</v>
      </c>
      <c r="C790" s="40">
        <v>2352</v>
      </c>
      <c r="D790" s="9" t="s">
        <v>723</v>
      </c>
      <c r="E790" s="34">
        <v>55</v>
      </c>
      <c r="F790" s="35">
        <f>IFERROR(LOOKUP(E790,CODIGOS!A:A,CODIGOS!B:B)," ")</f>
        <v>0</v>
      </c>
      <c r="G790" s="9"/>
      <c r="H790" s="36">
        <v>25</v>
      </c>
      <c r="I790" s="34" t="s">
        <v>11</v>
      </c>
      <c r="J790" s="9"/>
    </row>
    <row r="791" spans="1:10">
      <c r="A791" s="32">
        <f t="shared" si="3"/>
        <v>790</v>
      </c>
      <c r="B791" s="33">
        <v>45210</v>
      </c>
      <c r="C791" s="40">
        <v>2823</v>
      </c>
      <c r="D791" s="9" t="s">
        <v>724</v>
      </c>
      <c r="E791" s="34">
        <v>55</v>
      </c>
      <c r="F791" s="35">
        <f>IFERROR(LOOKUP(E791,CODIGOS!A:A,CODIGOS!B:B)," ")</f>
        <v>0</v>
      </c>
      <c r="G791" s="9"/>
      <c r="H791" s="36">
        <v>25</v>
      </c>
      <c r="I791" s="34" t="s">
        <v>11</v>
      </c>
      <c r="J791" s="9"/>
    </row>
    <row r="792" spans="1:10">
      <c r="A792" s="32">
        <f t="shared" si="3"/>
        <v>791</v>
      </c>
      <c r="B792" s="33">
        <v>45210</v>
      </c>
      <c r="C792" s="9">
        <v>2163</v>
      </c>
      <c r="D792" s="9" t="s">
        <v>725</v>
      </c>
      <c r="E792" s="34">
        <v>55</v>
      </c>
      <c r="F792" s="35">
        <f>IFERROR(LOOKUP(E792,CODIGOS!A:A,CODIGOS!B:B)," ")</f>
        <v>0</v>
      </c>
      <c r="G792" s="9"/>
      <c r="H792" s="36">
        <v>25</v>
      </c>
      <c r="I792" s="34" t="s">
        <v>11</v>
      </c>
      <c r="J792" s="9"/>
    </row>
    <row r="793" spans="1:10">
      <c r="A793" s="32">
        <f t="shared" si="3"/>
        <v>792</v>
      </c>
      <c r="B793" s="33">
        <v>45215</v>
      </c>
      <c r="C793" s="40">
        <v>2612</v>
      </c>
      <c r="D793" s="9" t="s">
        <v>660</v>
      </c>
      <c r="E793" s="34">
        <v>17</v>
      </c>
      <c r="F793" s="35" t="str">
        <f>IFERROR(LOOKUP(E793,CODIGOS!A:A,CODIGOS!B:B)," ")</f>
        <v>VISITA CASA DE LOS PISAS</v>
      </c>
      <c r="G793" s="9"/>
      <c r="H793" s="36">
        <v>-15</v>
      </c>
      <c r="I793" s="34"/>
      <c r="J793" s="9"/>
    </row>
    <row r="794" spans="1:10">
      <c r="A794" s="32">
        <f t="shared" si="3"/>
        <v>793</v>
      </c>
      <c r="B794" s="33">
        <v>45215</v>
      </c>
      <c r="C794" s="40">
        <v>2016</v>
      </c>
      <c r="D794" s="9" t="s">
        <v>726</v>
      </c>
      <c r="E794" s="34">
        <v>55</v>
      </c>
      <c r="F794" s="35">
        <f>IFERROR(LOOKUP(E794,CODIGOS!A:A,CODIGOS!B:B)," ")</f>
        <v>0</v>
      </c>
      <c r="G794" s="9"/>
      <c r="H794" s="36">
        <v>25</v>
      </c>
      <c r="I794" s="34" t="s">
        <v>11</v>
      </c>
      <c r="J794" s="9"/>
    </row>
    <row r="795" spans="1:10">
      <c r="A795" s="32">
        <f t="shared" si="3"/>
        <v>794</v>
      </c>
      <c r="B795" s="33">
        <v>45215</v>
      </c>
      <c r="C795" s="40">
        <v>2824</v>
      </c>
      <c r="D795" s="9" t="s">
        <v>727</v>
      </c>
      <c r="E795" s="34">
        <v>55</v>
      </c>
      <c r="F795" s="35">
        <f>IFERROR(LOOKUP(E795,CODIGOS!A:A,CODIGOS!B:B)," ")</f>
        <v>0</v>
      </c>
      <c r="G795" s="9"/>
      <c r="H795" s="36">
        <v>25</v>
      </c>
      <c r="I795" s="34" t="s">
        <v>11</v>
      </c>
      <c r="J795" s="9"/>
    </row>
    <row r="796" spans="1:10">
      <c r="A796" s="32">
        <f t="shared" si="3"/>
        <v>795</v>
      </c>
      <c r="B796" s="33">
        <v>45215</v>
      </c>
      <c r="C796" s="40">
        <v>2825</v>
      </c>
      <c r="D796" s="9" t="s">
        <v>728</v>
      </c>
      <c r="E796" s="34">
        <v>55</v>
      </c>
      <c r="F796" s="35">
        <f>IFERROR(LOOKUP(E796,CODIGOS!A:A,CODIGOS!B:B)," ")</f>
        <v>0</v>
      </c>
      <c r="G796" s="9"/>
      <c r="H796" s="36">
        <v>25</v>
      </c>
      <c r="I796" s="34" t="s">
        <v>11</v>
      </c>
      <c r="J796" s="9"/>
    </row>
    <row r="797" spans="1:10">
      <c r="A797" s="32">
        <f t="shared" si="3"/>
        <v>796</v>
      </c>
      <c r="B797" s="33">
        <v>45215</v>
      </c>
      <c r="C797" s="40">
        <v>2816</v>
      </c>
      <c r="D797" s="9" t="s">
        <v>729</v>
      </c>
      <c r="E797" s="34">
        <v>17</v>
      </c>
      <c r="F797" s="35" t="str">
        <f>IFERROR(LOOKUP(E797,CODIGOS!A:A,CODIGOS!B:B)," ")</f>
        <v>VISITA CASA DE LOS PISAS</v>
      </c>
      <c r="G797" s="9"/>
      <c r="H797" s="36">
        <v>15</v>
      </c>
      <c r="I797" s="34"/>
      <c r="J797" s="9"/>
    </row>
    <row r="798" spans="1:10">
      <c r="A798" s="32">
        <f t="shared" si="3"/>
        <v>797</v>
      </c>
      <c r="B798" s="33">
        <v>45215</v>
      </c>
      <c r="C798" s="9">
        <v>2114</v>
      </c>
      <c r="D798" s="9" t="s">
        <v>730</v>
      </c>
      <c r="E798" s="34">
        <v>55</v>
      </c>
      <c r="F798" s="35">
        <f>IFERROR(LOOKUP(E798,CODIGOS!A:A,CODIGOS!B:B)," ")</f>
        <v>0</v>
      </c>
      <c r="G798" s="9"/>
      <c r="H798" s="36">
        <v>25</v>
      </c>
      <c r="I798" s="34" t="s">
        <v>20</v>
      </c>
      <c r="J798" s="9"/>
    </row>
    <row r="799" spans="1:10">
      <c r="A799" s="32">
        <f t="shared" si="3"/>
        <v>798</v>
      </c>
      <c r="B799" s="33">
        <v>45215</v>
      </c>
      <c r="C799" s="9">
        <v>2029</v>
      </c>
      <c r="D799" s="9" t="s">
        <v>731</v>
      </c>
      <c r="E799" s="34">
        <v>55</v>
      </c>
      <c r="F799" s="35">
        <f>IFERROR(LOOKUP(E799,CODIGOS!A:A,CODIGOS!B:B)," ")</f>
        <v>0</v>
      </c>
      <c r="G799" s="9"/>
      <c r="H799" s="36">
        <v>25</v>
      </c>
      <c r="I799" s="34" t="s">
        <v>20</v>
      </c>
      <c r="J799" s="9"/>
    </row>
    <row r="800" spans="1:10">
      <c r="A800" s="32">
        <f t="shared" si="3"/>
        <v>799</v>
      </c>
      <c r="B800" s="33">
        <v>45215</v>
      </c>
      <c r="C800" s="9">
        <v>2826</v>
      </c>
      <c r="D800" s="9" t="s">
        <v>732</v>
      </c>
      <c r="E800" s="34">
        <v>55</v>
      </c>
      <c r="F800" s="35">
        <f>IFERROR(LOOKUP(E800,CODIGOS!A:A,CODIGOS!B:B)," ")</f>
        <v>0</v>
      </c>
      <c r="G800" s="9"/>
      <c r="H800" s="36">
        <v>25</v>
      </c>
      <c r="I800" s="34" t="s">
        <v>11</v>
      </c>
      <c r="J800" s="9"/>
    </row>
    <row r="801" spans="1:10">
      <c r="A801" s="32">
        <f t="shared" si="3"/>
        <v>800</v>
      </c>
      <c r="B801" s="33">
        <v>45215</v>
      </c>
      <c r="C801" s="9">
        <v>1930</v>
      </c>
      <c r="D801" s="9" t="s">
        <v>12</v>
      </c>
      <c r="E801" s="34">
        <v>17</v>
      </c>
      <c r="F801" s="35" t="str">
        <f>IFERROR(LOOKUP(E801,CODIGOS!A:A,CODIGOS!B:B)," ")</f>
        <v>VISITA CASA DE LOS PISAS</v>
      </c>
      <c r="G801" s="9"/>
      <c r="H801" s="36">
        <v>15</v>
      </c>
      <c r="I801" s="34"/>
      <c r="J801" s="9"/>
    </row>
    <row r="802" spans="1:10">
      <c r="A802" s="32">
        <f t="shared" si="3"/>
        <v>801</v>
      </c>
      <c r="B802" s="33">
        <v>45215</v>
      </c>
      <c r="C802" s="40">
        <v>2560</v>
      </c>
      <c r="D802" s="9" t="s">
        <v>733</v>
      </c>
      <c r="E802" s="34">
        <v>55</v>
      </c>
      <c r="F802" s="35">
        <f>IFERROR(LOOKUP(E802,CODIGOS!A:A,CODIGOS!B:B)," ")</f>
        <v>0</v>
      </c>
      <c r="G802" s="9"/>
      <c r="H802" s="36">
        <v>25</v>
      </c>
      <c r="I802" s="34" t="s">
        <v>11</v>
      </c>
      <c r="J802" s="9"/>
    </row>
    <row r="803" spans="1:10">
      <c r="A803" s="32">
        <f t="shared" si="3"/>
        <v>802</v>
      </c>
      <c r="B803" s="33">
        <v>45215</v>
      </c>
      <c r="C803" s="40">
        <v>2560</v>
      </c>
      <c r="D803" s="9" t="s">
        <v>733</v>
      </c>
      <c r="E803" s="34">
        <v>17</v>
      </c>
      <c r="F803" s="35" t="str">
        <f>IFERROR(LOOKUP(E803,CODIGOS!A:A,CODIGOS!B:B)," ")</f>
        <v>VISITA CASA DE LOS PISAS</v>
      </c>
      <c r="G803" s="9"/>
      <c r="H803" s="36">
        <v>15</v>
      </c>
      <c r="I803" s="34"/>
      <c r="J803" s="9"/>
    </row>
    <row r="804" spans="1:10">
      <c r="A804" s="32">
        <f t="shared" si="3"/>
        <v>803</v>
      </c>
      <c r="B804" s="33">
        <v>45215</v>
      </c>
      <c r="C804" s="40">
        <v>2309</v>
      </c>
      <c r="D804" s="9" t="s">
        <v>734</v>
      </c>
      <c r="E804" s="34">
        <v>55</v>
      </c>
      <c r="F804" s="35">
        <f>IFERROR(LOOKUP(E804,CODIGOS!A:A,CODIGOS!B:B)," ")</f>
        <v>0</v>
      </c>
      <c r="G804" s="9"/>
      <c r="H804" s="36">
        <v>25</v>
      </c>
      <c r="I804" s="34" t="s">
        <v>11</v>
      </c>
      <c r="J804" s="9"/>
    </row>
    <row r="805" spans="1:10">
      <c r="A805" s="32">
        <f t="shared" si="3"/>
        <v>804</v>
      </c>
      <c r="B805" s="33">
        <v>45215</v>
      </c>
      <c r="C805" s="40">
        <v>2055</v>
      </c>
      <c r="D805" s="9" t="s">
        <v>735</v>
      </c>
      <c r="E805" s="34">
        <v>55</v>
      </c>
      <c r="F805" s="35">
        <f>IFERROR(LOOKUP(E805,CODIGOS!A:A,CODIGOS!B:B)," ")</f>
        <v>0</v>
      </c>
      <c r="G805" s="9"/>
      <c r="H805" s="36">
        <v>25</v>
      </c>
      <c r="I805" s="34" t="s">
        <v>11</v>
      </c>
      <c r="J805" s="9"/>
    </row>
    <row r="806" spans="1:10">
      <c r="A806" s="32">
        <f t="shared" si="3"/>
        <v>805</v>
      </c>
      <c r="B806" s="33">
        <v>45215</v>
      </c>
      <c r="C806" s="40">
        <v>2698</v>
      </c>
      <c r="D806" s="9" t="s">
        <v>631</v>
      </c>
      <c r="E806" s="34">
        <v>55</v>
      </c>
      <c r="F806" s="35">
        <f>IFERROR(LOOKUP(E806,CODIGOS!A:A,CODIGOS!B:B)," ")</f>
        <v>0</v>
      </c>
      <c r="G806" s="9"/>
      <c r="H806" s="36">
        <v>25</v>
      </c>
      <c r="I806" s="34" t="s">
        <v>11</v>
      </c>
      <c r="J806" s="9"/>
    </row>
    <row r="807" spans="1:10">
      <c r="A807" s="32">
        <f t="shared" si="3"/>
        <v>806</v>
      </c>
      <c r="B807" s="33">
        <v>45215</v>
      </c>
      <c r="C807" s="9">
        <v>2145</v>
      </c>
      <c r="D807" s="9" t="s">
        <v>736</v>
      </c>
      <c r="E807" s="34">
        <v>55</v>
      </c>
      <c r="F807" s="35">
        <f>IFERROR(LOOKUP(E807,CODIGOS!A:A,CODIGOS!B:B)," ")</f>
        <v>0</v>
      </c>
      <c r="G807" s="9"/>
      <c r="H807" s="36">
        <v>25</v>
      </c>
      <c r="I807" s="34" t="s">
        <v>11</v>
      </c>
      <c r="J807" s="9"/>
    </row>
    <row r="808" spans="1:10">
      <c r="A808" s="32">
        <f t="shared" si="3"/>
        <v>807</v>
      </c>
      <c r="B808" s="33">
        <v>45215</v>
      </c>
      <c r="C808" s="9">
        <v>2406</v>
      </c>
      <c r="D808" s="9" t="s">
        <v>737</v>
      </c>
      <c r="E808" s="34">
        <v>55</v>
      </c>
      <c r="F808" s="35">
        <f>IFERROR(LOOKUP(E808,CODIGOS!A:A,CODIGOS!B:B)," ")</f>
        <v>0</v>
      </c>
      <c r="G808" s="9"/>
      <c r="H808" s="36">
        <v>25</v>
      </c>
      <c r="I808" s="34" t="s">
        <v>11</v>
      </c>
      <c r="J808" s="9"/>
    </row>
    <row r="809" spans="1:10">
      <c r="A809" s="32">
        <f t="shared" si="3"/>
        <v>808</v>
      </c>
      <c r="B809" s="33">
        <v>45215</v>
      </c>
      <c r="C809" s="9">
        <v>2495</v>
      </c>
      <c r="D809" s="9" t="s">
        <v>738</v>
      </c>
      <c r="E809" s="34">
        <v>55</v>
      </c>
      <c r="F809" s="35">
        <f>IFERROR(LOOKUP(E809,CODIGOS!A:A,CODIGOS!B:B)," ")</f>
        <v>0</v>
      </c>
      <c r="G809" s="9"/>
      <c r="H809" s="36">
        <v>25</v>
      </c>
      <c r="I809" s="34" t="s">
        <v>11</v>
      </c>
      <c r="J809" s="9"/>
    </row>
    <row r="810" spans="1:10">
      <c r="A810" s="32">
        <f t="shared" si="3"/>
        <v>809</v>
      </c>
      <c r="B810" s="33">
        <v>45215</v>
      </c>
      <c r="C810" s="9">
        <v>2725</v>
      </c>
      <c r="D810" s="9" t="s">
        <v>739</v>
      </c>
      <c r="E810" s="34">
        <v>55</v>
      </c>
      <c r="F810" s="35">
        <f>IFERROR(LOOKUP(E810,CODIGOS!A:A,CODIGOS!B:B)," ")</f>
        <v>0</v>
      </c>
      <c r="G810" s="9"/>
      <c r="H810" s="36">
        <v>25</v>
      </c>
      <c r="I810" s="34" t="s">
        <v>11</v>
      </c>
      <c r="J810" s="9"/>
    </row>
    <row r="811" spans="1:10">
      <c r="A811" s="32">
        <f t="shared" si="3"/>
        <v>810</v>
      </c>
      <c r="B811" s="33">
        <v>45215</v>
      </c>
      <c r="C811" s="9">
        <v>2827</v>
      </c>
      <c r="D811" s="9" t="s">
        <v>740</v>
      </c>
      <c r="E811" s="34">
        <v>55</v>
      </c>
      <c r="F811" s="35">
        <f>IFERROR(LOOKUP(E811,CODIGOS!A:A,CODIGOS!B:B)," ")</f>
        <v>0</v>
      </c>
      <c r="G811" s="9"/>
      <c r="H811" s="36">
        <v>25</v>
      </c>
      <c r="I811" s="34" t="s">
        <v>11</v>
      </c>
      <c r="J811" s="9"/>
    </row>
    <row r="812" spans="1:10">
      <c r="A812" s="32">
        <f t="shared" si="3"/>
        <v>811</v>
      </c>
      <c r="B812" s="33">
        <v>45215</v>
      </c>
      <c r="C812" s="9">
        <v>2829</v>
      </c>
      <c r="D812" s="9" t="s">
        <v>741</v>
      </c>
      <c r="E812" s="34">
        <v>55</v>
      </c>
      <c r="F812" s="35">
        <f>IFERROR(LOOKUP(E812,CODIGOS!A:A,CODIGOS!B:B)," ")</f>
        <v>0</v>
      </c>
      <c r="G812" s="9"/>
      <c r="H812" s="36">
        <v>25</v>
      </c>
      <c r="I812" s="34" t="s">
        <v>11</v>
      </c>
      <c r="J812" s="9"/>
    </row>
    <row r="813" spans="1:10">
      <c r="A813" s="32">
        <f t="shared" si="3"/>
        <v>812</v>
      </c>
      <c r="B813" s="33">
        <v>45215</v>
      </c>
      <c r="C813" s="9">
        <v>2828</v>
      </c>
      <c r="D813" s="9" t="s">
        <v>742</v>
      </c>
      <c r="E813" s="34">
        <v>55</v>
      </c>
      <c r="F813" s="35">
        <f>IFERROR(LOOKUP(E813,CODIGOS!A:A,CODIGOS!B:B)," ")</f>
        <v>0</v>
      </c>
      <c r="G813" s="9"/>
      <c r="H813" s="36">
        <v>25</v>
      </c>
      <c r="I813" s="34" t="s">
        <v>11</v>
      </c>
      <c r="J813" s="9"/>
    </row>
    <row r="814" spans="1:10">
      <c r="A814" s="32">
        <f t="shared" si="3"/>
        <v>813</v>
      </c>
      <c r="B814" s="33">
        <v>45215</v>
      </c>
      <c r="C814" s="9">
        <v>2831</v>
      </c>
      <c r="D814" s="9" t="s">
        <v>743</v>
      </c>
      <c r="E814" s="34">
        <v>55</v>
      </c>
      <c r="F814" s="35">
        <f>IFERROR(LOOKUP(E814,CODIGOS!A:A,CODIGOS!B:B)," ")</f>
        <v>0</v>
      </c>
      <c r="G814" s="9"/>
      <c r="H814" s="36">
        <v>25</v>
      </c>
      <c r="I814" s="34" t="s">
        <v>11</v>
      </c>
      <c r="J814" s="9"/>
    </row>
    <row r="815" spans="1:10">
      <c r="A815" s="32">
        <f t="shared" si="3"/>
        <v>814</v>
      </c>
      <c r="B815" s="33">
        <v>45215</v>
      </c>
      <c r="C815" s="9">
        <v>2830</v>
      </c>
      <c r="D815" s="9" t="s">
        <v>744</v>
      </c>
      <c r="E815" s="34">
        <v>55</v>
      </c>
      <c r="F815" s="35">
        <f>IFERROR(LOOKUP(E815,CODIGOS!A:A,CODIGOS!B:B)," ")</f>
        <v>0</v>
      </c>
      <c r="G815" s="9"/>
      <c r="H815" s="36">
        <v>25</v>
      </c>
      <c r="I815" s="34" t="s">
        <v>11</v>
      </c>
      <c r="J815" s="9"/>
    </row>
    <row r="816" spans="1:10">
      <c r="A816" s="32">
        <f t="shared" si="3"/>
        <v>815</v>
      </c>
      <c r="B816" s="33">
        <v>45215</v>
      </c>
      <c r="C816" s="9">
        <v>2832</v>
      </c>
      <c r="D816" s="9" t="s">
        <v>745</v>
      </c>
      <c r="E816" s="34">
        <v>55</v>
      </c>
      <c r="F816" s="35">
        <f>IFERROR(LOOKUP(E816,CODIGOS!A:A,CODIGOS!B:B)," ")</f>
        <v>0</v>
      </c>
      <c r="G816" s="9"/>
      <c r="H816" s="36">
        <v>25</v>
      </c>
      <c r="I816" s="34" t="s">
        <v>11</v>
      </c>
      <c r="J816" s="9"/>
    </row>
    <row r="817" spans="1:10">
      <c r="A817" s="32">
        <f t="shared" si="3"/>
        <v>816</v>
      </c>
      <c r="B817" s="33">
        <v>45215</v>
      </c>
      <c r="C817" s="9">
        <v>2834</v>
      </c>
      <c r="D817" s="9" t="s">
        <v>746</v>
      </c>
      <c r="E817" s="34">
        <v>55</v>
      </c>
      <c r="F817" s="35">
        <f>IFERROR(LOOKUP(E817,CODIGOS!A:A,CODIGOS!B:B)," ")</f>
        <v>0</v>
      </c>
      <c r="G817" s="9"/>
      <c r="H817" s="36">
        <v>25</v>
      </c>
      <c r="I817" s="34" t="s">
        <v>11</v>
      </c>
      <c r="J817" s="9"/>
    </row>
    <row r="818" spans="1:10">
      <c r="A818" s="32">
        <f t="shared" si="3"/>
        <v>817</v>
      </c>
      <c r="B818" s="33">
        <v>45215</v>
      </c>
      <c r="C818" s="9">
        <v>2833</v>
      </c>
      <c r="D818" s="9" t="s">
        <v>747</v>
      </c>
      <c r="E818" s="34">
        <v>55</v>
      </c>
      <c r="F818" s="35">
        <f>IFERROR(LOOKUP(E818,CODIGOS!A:A,CODIGOS!B:B)," ")</f>
        <v>0</v>
      </c>
      <c r="G818" s="9"/>
      <c r="H818" s="42">
        <v>25</v>
      </c>
      <c r="I818" s="34" t="s">
        <v>11</v>
      </c>
      <c r="J818" s="9"/>
    </row>
    <row r="819" spans="1:10">
      <c r="A819" s="32">
        <f t="shared" si="3"/>
        <v>818</v>
      </c>
      <c r="B819" s="33">
        <v>45215</v>
      </c>
      <c r="C819" s="9">
        <v>2836</v>
      </c>
      <c r="D819" s="9" t="s">
        <v>748</v>
      </c>
      <c r="E819" s="34">
        <v>55</v>
      </c>
      <c r="F819" s="35">
        <f>IFERROR(LOOKUP(E819,CODIGOS!A:A,CODIGOS!B:B)," ")</f>
        <v>0</v>
      </c>
      <c r="G819" s="9"/>
      <c r="H819" s="42">
        <v>25</v>
      </c>
      <c r="I819" s="34" t="s">
        <v>11</v>
      </c>
      <c r="J819" s="9"/>
    </row>
    <row r="820" spans="1:10">
      <c r="A820" s="32">
        <f t="shared" si="3"/>
        <v>819</v>
      </c>
      <c r="B820" s="33">
        <v>45215</v>
      </c>
      <c r="C820" s="9">
        <v>2835</v>
      </c>
      <c r="D820" s="9" t="s">
        <v>749</v>
      </c>
      <c r="E820" s="34">
        <v>55</v>
      </c>
      <c r="F820" s="35">
        <f>IFERROR(LOOKUP(E820,CODIGOS!A:A,CODIGOS!B:B)," ")</f>
        <v>0</v>
      </c>
      <c r="G820" s="9"/>
      <c r="H820" s="36">
        <v>25</v>
      </c>
      <c r="I820" s="34" t="s">
        <v>11</v>
      </c>
      <c r="J820" s="9"/>
    </row>
    <row r="821" spans="1:10">
      <c r="A821" s="32">
        <f t="shared" si="3"/>
        <v>820</v>
      </c>
      <c r="B821" s="33">
        <v>45216</v>
      </c>
      <c r="C821" s="40">
        <v>2837</v>
      </c>
      <c r="D821" s="9" t="s">
        <v>750</v>
      </c>
      <c r="E821" s="34">
        <v>55</v>
      </c>
      <c r="F821" s="35">
        <f>IFERROR(LOOKUP(E821,CODIGOS!A:A,CODIGOS!B:B)," ")</f>
        <v>0</v>
      </c>
      <c r="G821" s="9"/>
      <c r="H821" s="36">
        <v>25</v>
      </c>
      <c r="I821" s="34" t="s">
        <v>11</v>
      </c>
      <c r="J821" s="9"/>
    </row>
    <row r="822" spans="1:10">
      <c r="A822" s="32">
        <f t="shared" si="3"/>
        <v>821</v>
      </c>
      <c r="B822" s="33">
        <v>45216</v>
      </c>
      <c r="C822" s="40">
        <v>2563</v>
      </c>
      <c r="D822" s="9" t="s">
        <v>241</v>
      </c>
      <c r="E822" s="34">
        <v>17</v>
      </c>
      <c r="F822" s="35" t="str">
        <f>IFERROR(LOOKUP(E822,CODIGOS!A:A,CODIGOS!B:B)," ")</f>
        <v>VISITA CASA DE LOS PISAS</v>
      </c>
      <c r="G822" s="9"/>
      <c r="H822" s="36">
        <v>15</v>
      </c>
      <c r="I822" s="34"/>
      <c r="J822" s="9"/>
    </row>
    <row r="823" spans="1:10">
      <c r="A823" s="32">
        <f t="shared" si="3"/>
        <v>822</v>
      </c>
      <c r="B823" s="33">
        <v>45216</v>
      </c>
      <c r="C823" s="40">
        <v>2695</v>
      </c>
      <c r="D823" s="9" t="s">
        <v>751</v>
      </c>
      <c r="E823" s="34">
        <v>55</v>
      </c>
      <c r="F823" s="35">
        <f>IFERROR(LOOKUP(E823,CODIGOS!A:A,CODIGOS!B:B)," ")</f>
        <v>0</v>
      </c>
      <c r="G823" s="9"/>
      <c r="H823" s="36">
        <v>25</v>
      </c>
      <c r="I823" s="34" t="s">
        <v>11</v>
      </c>
      <c r="J823" s="9"/>
    </row>
    <row r="824" spans="1:10">
      <c r="A824" s="32">
        <f t="shared" si="3"/>
        <v>823</v>
      </c>
      <c r="B824" s="33">
        <v>45216</v>
      </c>
      <c r="C824" s="40">
        <v>2340</v>
      </c>
      <c r="D824" s="9" t="s">
        <v>752</v>
      </c>
      <c r="E824" s="34">
        <v>55</v>
      </c>
      <c r="F824" s="35">
        <f>IFERROR(LOOKUP(E824,CODIGOS!A:A,CODIGOS!B:B)," ")</f>
        <v>0</v>
      </c>
      <c r="G824" s="9"/>
      <c r="H824" s="36">
        <v>25</v>
      </c>
      <c r="I824" s="34" t="s">
        <v>11</v>
      </c>
      <c r="J824" s="9"/>
    </row>
    <row r="825" spans="1:10">
      <c r="A825" s="32">
        <f t="shared" si="3"/>
        <v>824</v>
      </c>
      <c r="B825" s="33">
        <v>45216</v>
      </c>
      <c r="C825" s="40">
        <v>2348</v>
      </c>
      <c r="D825" s="9" t="s">
        <v>753</v>
      </c>
      <c r="E825" s="34">
        <v>55</v>
      </c>
      <c r="F825" s="35">
        <f>IFERROR(LOOKUP(E825,CODIGOS!A:A,CODIGOS!B:B)," ")</f>
        <v>0</v>
      </c>
      <c r="G825" s="9"/>
      <c r="H825" s="36">
        <v>25</v>
      </c>
      <c r="I825" s="34" t="s">
        <v>115</v>
      </c>
      <c r="J825" s="9"/>
    </row>
    <row r="826" spans="1:10">
      <c r="A826" s="32">
        <f t="shared" si="3"/>
        <v>825</v>
      </c>
      <c r="B826" s="33">
        <v>45217</v>
      </c>
      <c r="C826" s="40">
        <v>2795</v>
      </c>
      <c r="D826" s="9" t="s">
        <v>754</v>
      </c>
      <c r="E826" s="34">
        <v>20</v>
      </c>
      <c r="F826" s="35" t="str">
        <f>IFERROR(LOOKUP(E826,CODIGOS!A:A,CODIGOS!B:B)," ")</f>
        <v>VISITA A FONELAS</v>
      </c>
      <c r="G826" s="9"/>
      <c r="H826" s="36">
        <v>5</v>
      </c>
      <c r="I826" s="34"/>
      <c r="J826" s="9"/>
    </row>
    <row r="827" spans="1:10">
      <c r="A827" s="32">
        <f t="shared" si="3"/>
        <v>826</v>
      </c>
      <c r="B827" s="33">
        <v>45217</v>
      </c>
      <c r="C827" s="40">
        <v>2838</v>
      </c>
      <c r="D827" s="9" t="s">
        <v>755</v>
      </c>
      <c r="E827" s="34">
        <v>55</v>
      </c>
      <c r="F827" s="35">
        <f>IFERROR(LOOKUP(E827,CODIGOS!A:A,CODIGOS!B:B)," ")</f>
        <v>0</v>
      </c>
      <c r="G827" s="9"/>
      <c r="H827" s="36">
        <v>25</v>
      </c>
      <c r="I827" s="34" t="s">
        <v>11</v>
      </c>
      <c r="J827" s="9"/>
    </row>
    <row r="828" spans="1:10">
      <c r="A828" s="32">
        <f t="shared" si="3"/>
        <v>827</v>
      </c>
      <c r="B828" s="33">
        <v>45217</v>
      </c>
      <c r="C828" s="40">
        <v>2839</v>
      </c>
      <c r="D828" s="9" t="s">
        <v>756</v>
      </c>
      <c r="E828" s="34">
        <v>55</v>
      </c>
      <c r="F828" s="35">
        <f>IFERROR(LOOKUP(E828,CODIGOS!A:A,CODIGOS!B:B)," ")</f>
        <v>0</v>
      </c>
      <c r="G828" s="9"/>
      <c r="H828" s="36">
        <v>25</v>
      </c>
      <c r="I828" s="34" t="s">
        <v>11</v>
      </c>
      <c r="J828" s="9"/>
    </row>
    <row r="829" spans="1:10">
      <c r="A829" s="32">
        <f t="shared" si="3"/>
        <v>828</v>
      </c>
      <c r="B829" s="33">
        <v>45217</v>
      </c>
      <c r="C829" s="40">
        <v>2587</v>
      </c>
      <c r="D829" s="9" t="s">
        <v>757</v>
      </c>
      <c r="E829" s="34">
        <v>55</v>
      </c>
      <c r="F829" s="35">
        <f>IFERROR(LOOKUP(E829,CODIGOS!A:A,CODIGOS!B:B)," ")</f>
        <v>0</v>
      </c>
      <c r="G829" s="9"/>
      <c r="H829" s="36">
        <v>25</v>
      </c>
      <c r="I829" s="34" t="s">
        <v>11</v>
      </c>
      <c r="J829" s="9"/>
    </row>
    <row r="830" spans="1:10">
      <c r="A830" s="32">
        <f t="shared" si="3"/>
        <v>829</v>
      </c>
      <c r="B830" s="33">
        <v>45217</v>
      </c>
      <c r="C830" s="40">
        <v>2840</v>
      </c>
      <c r="D830" s="9" t="s">
        <v>758</v>
      </c>
      <c r="E830" s="34">
        <v>55</v>
      </c>
      <c r="F830" s="35">
        <f>IFERROR(LOOKUP(E830,CODIGOS!A:A,CODIGOS!B:B)," ")</f>
        <v>0</v>
      </c>
      <c r="G830" s="9"/>
      <c r="H830" s="36">
        <v>25</v>
      </c>
      <c r="I830" s="34" t="s">
        <v>11</v>
      </c>
      <c r="J830" s="9"/>
    </row>
    <row r="831" spans="1:10">
      <c r="A831" s="32">
        <f t="shared" si="3"/>
        <v>830</v>
      </c>
      <c r="B831" s="33">
        <v>45217</v>
      </c>
      <c r="C831" s="9">
        <v>1901</v>
      </c>
      <c r="D831" s="9" t="s">
        <v>264</v>
      </c>
      <c r="E831" s="34">
        <v>20</v>
      </c>
      <c r="F831" s="35" t="str">
        <f>IFERROR(LOOKUP(E831,CODIGOS!A:A,CODIGOS!B:B)," ")</f>
        <v>VISITA A FONELAS</v>
      </c>
      <c r="G831" s="9"/>
      <c r="H831" s="36">
        <v>5</v>
      </c>
      <c r="I831" s="34"/>
      <c r="J831" s="9"/>
    </row>
    <row r="832" spans="1:10">
      <c r="A832" s="32">
        <f t="shared" si="3"/>
        <v>831</v>
      </c>
      <c r="B832" s="24">
        <v>45222</v>
      </c>
      <c r="C832" s="17">
        <v>2317</v>
      </c>
      <c r="D832" s="17" t="s">
        <v>759</v>
      </c>
      <c r="E832" s="19">
        <v>55</v>
      </c>
      <c r="F832" s="35">
        <f>IFERROR(LOOKUP(E832,CODIGOS!A:A,CODIGOS!B:B)," ")</f>
        <v>0</v>
      </c>
      <c r="G832" s="9"/>
      <c r="H832" s="26">
        <v>25</v>
      </c>
      <c r="I832" s="19" t="s">
        <v>20</v>
      </c>
      <c r="J832" s="9"/>
    </row>
    <row r="833" spans="1:10">
      <c r="A833" s="32">
        <f t="shared" si="3"/>
        <v>832</v>
      </c>
      <c r="B833" s="24">
        <v>45222</v>
      </c>
      <c r="C833" s="17">
        <v>2565</v>
      </c>
      <c r="D833" s="17" t="s">
        <v>760</v>
      </c>
      <c r="E833" s="19">
        <v>55</v>
      </c>
      <c r="F833" s="35">
        <f>IFERROR(LOOKUP(E833,CODIGOS!A:A,CODIGOS!B:B)," ")</f>
        <v>0</v>
      </c>
      <c r="G833" s="9"/>
      <c r="H833" s="26">
        <v>25</v>
      </c>
      <c r="I833" s="19" t="s">
        <v>11</v>
      </c>
      <c r="J833" s="38"/>
    </row>
    <row r="834" spans="1:10">
      <c r="A834" s="32">
        <f t="shared" si="3"/>
        <v>833</v>
      </c>
      <c r="B834" s="45">
        <v>45222</v>
      </c>
      <c r="C834" s="17">
        <v>2057</v>
      </c>
      <c r="D834" s="17" t="s">
        <v>761</v>
      </c>
      <c r="E834" s="19">
        <v>55</v>
      </c>
      <c r="F834" s="35">
        <f>IFERROR(LOOKUP(E834,CODIGOS!A:A,CODIGOS!B:B)," ")</f>
        <v>0</v>
      </c>
      <c r="G834" s="9"/>
      <c r="H834" s="26">
        <v>25</v>
      </c>
      <c r="I834" s="19" t="s">
        <v>11</v>
      </c>
      <c r="J834" s="38"/>
    </row>
    <row r="835" spans="1:10">
      <c r="A835" s="32">
        <f t="shared" si="3"/>
        <v>834</v>
      </c>
      <c r="B835" s="45">
        <v>45222</v>
      </c>
      <c r="C835" s="17">
        <v>2058</v>
      </c>
      <c r="D835" s="17" t="s">
        <v>762</v>
      </c>
      <c r="E835" s="19">
        <v>55</v>
      </c>
      <c r="F835" s="35">
        <f>IFERROR(LOOKUP(E835,CODIGOS!A:A,CODIGOS!B:B)," ")</f>
        <v>0</v>
      </c>
      <c r="G835" s="9"/>
      <c r="H835" s="26">
        <v>25</v>
      </c>
      <c r="I835" s="19" t="s">
        <v>11</v>
      </c>
      <c r="J835" s="38"/>
    </row>
    <row r="836" spans="1:10">
      <c r="A836" s="32">
        <f t="shared" si="3"/>
        <v>835</v>
      </c>
      <c r="B836" s="45">
        <v>45222</v>
      </c>
      <c r="C836" s="17">
        <v>2793</v>
      </c>
      <c r="D836" s="17" t="s">
        <v>763</v>
      </c>
      <c r="E836" s="19">
        <v>21</v>
      </c>
      <c r="F836" s="35">
        <f>IFERROR(LOOKUP(E836,CODIGOS!A:A,CODIGOS!B:B)," ")</f>
        <v>0</v>
      </c>
      <c r="G836" s="9"/>
      <c r="H836" s="26">
        <v>5</v>
      </c>
      <c r="J836" s="38"/>
    </row>
    <row r="837" spans="1:10">
      <c r="A837" s="32">
        <f t="shared" si="3"/>
        <v>836</v>
      </c>
      <c r="B837" s="45">
        <v>45222</v>
      </c>
      <c r="C837" s="17">
        <v>2390</v>
      </c>
      <c r="D837" s="17" t="s">
        <v>764</v>
      </c>
      <c r="E837" s="19">
        <v>21</v>
      </c>
      <c r="F837" s="35">
        <f>IFERROR(LOOKUP(E837,CODIGOS!A:A,CODIGOS!B:B)," ")</f>
        <v>0</v>
      </c>
      <c r="G837" s="9"/>
      <c r="H837" s="26">
        <v>5</v>
      </c>
      <c r="J837" s="38"/>
    </row>
    <row r="838" spans="1:10">
      <c r="A838" s="32">
        <f t="shared" si="3"/>
        <v>837</v>
      </c>
      <c r="B838" s="45">
        <v>45222</v>
      </c>
      <c r="C838" s="17">
        <v>2793</v>
      </c>
      <c r="D838" s="17" t="s">
        <v>763</v>
      </c>
      <c r="E838" s="19">
        <v>20</v>
      </c>
      <c r="F838" s="35" t="str">
        <f>IFERROR(LOOKUP(E838,CODIGOS!A:A,CODIGOS!B:B)," ")</f>
        <v>VISITA A FONELAS</v>
      </c>
      <c r="G838" s="9"/>
      <c r="H838" s="26">
        <v>5</v>
      </c>
      <c r="J838" s="38"/>
    </row>
    <row r="839" spans="1:10">
      <c r="A839" s="32">
        <f t="shared" si="3"/>
        <v>838</v>
      </c>
      <c r="B839" s="45">
        <v>45222</v>
      </c>
      <c r="C839" s="17">
        <v>2359</v>
      </c>
      <c r="D839" s="17" t="s">
        <v>765</v>
      </c>
      <c r="E839" s="19">
        <v>55</v>
      </c>
      <c r="F839" s="35">
        <f>IFERROR(LOOKUP(E839,CODIGOS!A:A,CODIGOS!B:B)," ")</f>
        <v>0</v>
      </c>
      <c r="G839" s="9"/>
      <c r="H839" s="26">
        <v>25</v>
      </c>
      <c r="I839" s="19" t="s">
        <v>11</v>
      </c>
      <c r="J839" s="38"/>
    </row>
    <row r="840" spans="1:10">
      <c r="A840" s="32">
        <f t="shared" si="3"/>
        <v>839</v>
      </c>
      <c r="B840" s="45">
        <v>45222</v>
      </c>
      <c r="C840" s="17">
        <v>2700</v>
      </c>
      <c r="D840" s="17" t="s">
        <v>766</v>
      </c>
      <c r="E840" s="19">
        <v>55</v>
      </c>
      <c r="F840" s="35">
        <f>IFERROR(LOOKUP(E840,CODIGOS!A:A,CODIGOS!B:B)," ")</f>
        <v>0</v>
      </c>
      <c r="G840" s="9"/>
      <c r="H840" s="26">
        <v>25</v>
      </c>
      <c r="I840" s="19" t="s">
        <v>11</v>
      </c>
      <c r="J840" s="38"/>
    </row>
    <row r="841" spans="1:10">
      <c r="A841" s="32">
        <f t="shared" si="3"/>
        <v>840</v>
      </c>
      <c r="B841" s="45">
        <v>45222</v>
      </c>
      <c r="C841" s="17">
        <v>1916</v>
      </c>
      <c r="D841" s="17" t="s">
        <v>767</v>
      </c>
      <c r="E841" s="19">
        <v>55</v>
      </c>
      <c r="F841" s="35">
        <f>IFERROR(LOOKUP(E841,CODIGOS!A:A,CODIGOS!B:B)," ")</f>
        <v>0</v>
      </c>
      <c r="G841" s="9"/>
      <c r="H841" s="26">
        <v>25</v>
      </c>
      <c r="I841" s="19" t="s">
        <v>11</v>
      </c>
      <c r="J841" s="38"/>
    </row>
    <row r="842" spans="1:10">
      <c r="A842" s="32">
        <f t="shared" si="3"/>
        <v>841</v>
      </c>
      <c r="B842" s="45">
        <v>45222</v>
      </c>
      <c r="C842" s="17">
        <v>1916</v>
      </c>
      <c r="D842" s="17" t="s">
        <v>767</v>
      </c>
      <c r="E842" s="19">
        <v>20</v>
      </c>
      <c r="F842" s="35" t="str">
        <f>IFERROR(LOOKUP(E842,CODIGOS!A:A,CODIGOS!B:B)," ")</f>
        <v>VISITA A FONELAS</v>
      </c>
      <c r="G842" s="9"/>
      <c r="H842" s="26">
        <v>5</v>
      </c>
      <c r="J842" s="38"/>
    </row>
    <row r="843" spans="1:10">
      <c r="A843" s="32">
        <f t="shared" si="3"/>
        <v>842</v>
      </c>
      <c r="B843" s="45">
        <v>45222</v>
      </c>
      <c r="C843" s="17">
        <v>2570</v>
      </c>
      <c r="D843" s="17" t="s">
        <v>768</v>
      </c>
      <c r="E843" s="19">
        <v>55</v>
      </c>
      <c r="F843" s="35">
        <f>IFERROR(LOOKUP(E843,CODIGOS!A:A,CODIGOS!B:B)," ")</f>
        <v>0</v>
      </c>
      <c r="G843" s="9"/>
      <c r="H843" s="26">
        <v>25</v>
      </c>
      <c r="I843" s="19" t="s">
        <v>11</v>
      </c>
      <c r="J843" s="38"/>
    </row>
    <row r="844" spans="1:10">
      <c r="A844" s="32">
        <f t="shared" si="3"/>
        <v>843</v>
      </c>
      <c r="B844" s="45">
        <v>45222</v>
      </c>
      <c r="C844" s="17">
        <v>2367</v>
      </c>
      <c r="D844" s="17" t="s">
        <v>769</v>
      </c>
      <c r="E844" s="19">
        <v>55</v>
      </c>
      <c r="F844" s="35">
        <f>IFERROR(LOOKUP(E844,CODIGOS!A:A,CODIGOS!B:B)," ")</f>
        <v>0</v>
      </c>
      <c r="G844" s="9"/>
      <c r="H844" s="26">
        <v>25</v>
      </c>
      <c r="I844" s="19" t="s">
        <v>11</v>
      </c>
      <c r="J844" s="38"/>
    </row>
    <row r="845" spans="1:10">
      <c r="A845" s="32">
        <f t="shared" si="3"/>
        <v>844</v>
      </c>
      <c r="B845" s="45">
        <v>45222</v>
      </c>
      <c r="C845" s="17">
        <v>2841</v>
      </c>
      <c r="D845" s="17" t="s">
        <v>770</v>
      </c>
      <c r="E845" s="19">
        <v>55</v>
      </c>
      <c r="F845" s="35">
        <f>IFERROR(LOOKUP(E845,CODIGOS!A:A,CODIGOS!B:B)," ")</f>
        <v>0</v>
      </c>
      <c r="G845" s="9"/>
      <c r="H845" s="26">
        <v>25</v>
      </c>
      <c r="I845" s="19" t="s">
        <v>11</v>
      </c>
      <c r="J845" s="38"/>
    </row>
    <row r="846" spans="1:10">
      <c r="A846" s="32">
        <f t="shared" si="3"/>
        <v>845</v>
      </c>
      <c r="B846" s="45">
        <v>45222</v>
      </c>
      <c r="C846" s="17">
        <v>2284</v>
      </c>
      <c r="D846" s="17" t="s">
        <v>771</v>
      </c>
      <c r="E846" s="19">
        <v>55</v>
      </c>
      <c r="F846" s="35">
        <f>IFERROR(LOOKUP(E846,CODIGOS!A:A,CODIGOS!B:B)," ")</f>
        <v>0</v>
      </c>
      <c r="G846" s="9"/>
      <c r="H846" s="26">
        <v>25</v>
      </c>
      <c r="I846" s="19" t="s">
        <v>11</v>
      </c>
      <c r="J846" s="38"/>
    </row>
    <row r="847" spans="1:10">
      <c r="A847" s="32">
        <f t="shared" ref="A847:A910" si="4">IF(B847&lt;&gt;0,A846+1," ")</f>
        <v>846</v>
      </c>
      <c r="B847" s="45">
        <v>45222</v>
      </c>
      <c r="C847" s="17">
        <v>2752</v>
      </c>
      <c r="D847" s="17" t="s">
        <v>772</v>
      </c>
      <c r="E847" s="19">
        <v>20</v>
      </c>
      <c r="F847" s="35" t="str">
        <f>IFERROR(LOOKUP(E847,CODIGOS!A:A,CODIGOS!B:B)," ")</f>
        <v>VISITA A FONELAS</v>
      </c>
      <c r="G847" s="9"/>
      <c r="H847" s="26">
        <v>5</v>
      </c>
      <c r="J847" s="38"/>
    </row>
    <row r="848" spans="1:10">
      <c r="A848" s="32">
        <f t="shared" si="4"/>
        <v>847</v>
      </c>
      <c r="B848" s="45">
        <v>45222</v>
      </c>
      <c r="C848" s="17">
        <v>2582</v>
      </c>
      <c r="D848" s="17" t="s">
        <v>773</v>
      </c>
      <c r="E848" s="19">
        <v>55</v>
      </c>
      <c r="F848" s="35">
        <f>IFERROR(LOOKUP(E848,CODIGOS!A:A,CODIGOS!B:B)," ")</f>
        <v>0</v>
      </c>
      <c r="G848" s="9"/>
      <c r="H848" s="26">
        <v>25</v>
      </c>
      <c r="I848" s="19" t="s">
        <v>11</v>
      </c>
      <c r="J848" s="38"/>
    </row>
    <row r="849" spans="1:10">
      <c r="A849" s="32">
        <f t="shared" si="4"/>
        <v>848</v>
      </c>
      <c r="B849" s="45">
        <v>45222</v>
      </c>
      <c r="C849" s="17">
        <v>2842</v>
      </c>
      <c r="D849" s="17" t="s">
        <v>774</v>
      </c>
      <c r="E849" s="19">
        <v>55</v>
      </c>
      <c r="F849" s="35">
        <f>IFERROR(LOOKUP(E849,CODIGOS!A:A,CODIGOS!B:B)," ")</f>
        <v>0</v>
      </c>
      <c r="G849" s="9"/>
      <c r="H849" s="26">
        <v>25</v>
      </c>
      <c r="I849" s="19" t="s">
        <v>11</v>
      </c>
      <c r="J849" s="38"/>
    </row>
    <row r="850" spans="1:10">
      <c r="A850" s="32">
        <f t="shared" si="4"/>
        <v>849</v>
      </c>
      <c r="B850" s="45">
        <v>45222</v>
      </c>
      <c r="C850" s="17">
        <v>1637</v>
      </c>
      <c r="D850" s="17" t="s">
        <v>775</v>
      </c>
      <c r="E850" s="19">
        <v>20</v>
      </c>
      <c r="F850" s="35" t="str">
        <f>IFERROR(LOOKUP(E850,CODIGOS!A:A,CODIGOS!B:B)," ")</f>
        <v>VISITA A FONELAS</v>
      </c>
      <c r="G850" s="9"/>
      <c r="H850" s="26">
        <v>5</v>
      </c>
      <c r="J850" s="38"/>
    </row>
    <row r="851" spans="1:10">
      <c r="A851" s="32">
        <f t="shared" si="4"/>
        <v>850</v>
      </c>
      <c r="B851" s="45">
        <v>45222</v>
      </c>
      <c r="C851" s="17">
        <v>2476</v>
      </c>
      <c r="D851" s="17" t="s">
        <v>776</v>
      </c>
      <c r="E851" s="19">
        <v>55</v>
      </c>
      <c r="F851" s="35">
        <f>IFERROR(LOOKUP(E851,CODIGOS!A:A,CODIGOS!B:B)," ")</f>
        <v>0</v>
      </c>
      <c r="G851" s="9"/>
      <c r="H851" s="26">
        <v>25</v>
      </c>
      <c r="I851" s="19" t="s">
        <v>11</v>
      </c>
      <c r="J851" s="38"/>
    </row>
    <row r="852" spans="1:10">
      <c r="A852" s="32">
        <f t="shared" si="4"/>
        <v>851</v>
      </c>
      <c r="B852" s="45">
        <v>45222</v>
      </c>
      <c r="C852" s="17">
        <v>2616</v>
      </c>
      <c r="D852" s="17" t="s">
        <v>777</v>
      </c>
      <c r="E852" s="19">
        <v>55</v>
      </c>
      <c r="F852" s="35">
        <f>IFERROR(LOOKUP(E852,CODIGOS!A:A,CODIGOS!B:B)," ")</f>
        <v>0</v>
      </c>
      <c r="G852" s="9"/>
      <c r="H852" s="26">
        <v>25</v>
      </c>
      <c r="I852" s="19" t="s">
        <v>11</v>
      </c>
      <c r="J852" s="38"/>
    </row>
    <row r="853" spans="1:10">
      <c r="A853" s="32">
        <f t="shared" si="4"/>
        <v>852</v>
      </c>
      <c r="B853" s="45">
        <v>45222</v>
      </c>
      <c r="C853" s="17">
        <v>2663</v>
      </c>
      <c r="D853" s="17" t="s">
        <v>778</v>
      </c>
      <c r="E853" s="19">
        <v>55</v>
      </c>
      <c r="F853" s="35">
        <f>IFERROR(LOOKUP(E853,CODIGOS!A:A,CODIGOS!B:B)," ")</f>
        <v>0</v>
      </c>
      <c r="G853" s="9"/>
      <c r="H853" s="26">
        <v>25</v>
      </c>
      <c r="I853" s="19" t="s">
        <v>11</v>
      </c>
      <c r="J853" s="38"/>
    </row>
    <row r="854" spans="1:10">
      <c r="A854" s="32">
        <f t="shared" si="4"/>
        <v>853</v>
      </c>
      <c r="B854" s="45">
        <v>45222</v>
      </c>
      <c r="C854" s="17">
        <v>2843</v>
      </c>
      <c r="D854" s="17" t="s">
        <v>779</v>
      </c>
      <c r="E854" s="19">
        <v>55</v>
      </c>
      <c r="F854" s="35">
        <f>IFERROR(LOOKUP(E854,CODIGOS!A:A,CODIGOS!B:B)," ")</f>
        <v>0</v>
      </c>
      <c r="G854" s="9"/>
      <c r="H854" s="26">
        <v>25</v>
      </c>
      <c r="I854" s="19" t="s">
        <v>11</v>
      </c>
      <c r="J854" s="38"/>
    </row>
    <row r="855" spans="1:10">
      <c r="A855" s="32">
        <f t="shared" si="4"/>
        <v>854</v>
      </c>
      <c r="B855" s="45">
        <v>45222</v>
      </c>
      <c r="C855" s="17">
        <v>2226</v>
      </c>
      <c r="D855" s="17" t="s">
        <v>780</v>
      </c>
      <c r="E855" s="19">
        <v>55</v>
      </c>
      <c r="F855" s="35">
        <f>IFERROR(LOOKUP(E855,CODIGOS!A:A,CODIGOS!B:B)," ")</f>
        <v>0</v>
      </c>
      <c r="G855" s="9"/>
      <c r="H855" s="26">
        <v>25</v>
      </c>
      <c r="I855" s="19" t="s">
        <v>11</v>
      </c>
      <c r="J855" s="38"/>
    </row>
    <row r="856" spans="1:10">
      <c r="A856" s="32">
        <f t="shared" si="4"/>
        <v>855</v>
      </c>
      <c r="B856" s="45">
        <v>45222</v>
      </c>
      <c r="C856" s="17">
        <v>1911</v>
      </c>
      <c r="D856" s="17" t="s">
        <v>781</v>
      </c>
      <c r="E856" s="19">
        <v>20</v>
      </c>
      <c r="F856" s="35" t="str">
        <f>IFERROR(LOOKUP(E856,CODIGOS!A:A,CODIGOS!B:B)," ")</f>
        <v>VISITA A FONELAS</v>
      </c>
      <c r="G856" s="9"/>
      <c r="H856" s="26">
        <v>5</v>
      </c>
      <c r="J856" s="38"/>
    </row>
    <row r="857" spans="1:10">
      <c r="A857" s="32">
        <f t="shared" si="4"/>
        <v>856</v>
      </c>
      <c r="B857" s="45">
        <v>45222</v>
      </c>
      <c r="C857" s="17">
        <v>1911</v>
      </c>
      <c r="D857" s="17" t="s">
        <v>781</v>
      </c>
      <c r="E857" s="19">
        <v>55</v>
      </c>
      <c r="F857" s="35">
        <f>IFERROR(LOOKUP(E857,CODIGOS!A:A,CODIGOS!B:B)," ")</f>
        <v>0</v>
      </c>
      <c r="G857" s="9"/>
      <c r="H857" s="26">
        <v>25</v>
      </c>
      <c r="I857" s="19" t="s">
        <v>20</v>
      </c>
      <c r="J857" s="38"/>
    </row>
    <row r="858" spans="1:10">
      <c r="A858" s="32">
        <f t="shared" si="4"/>
        <v>857</v>
      </c>
      <c r="B858" s="45">
        <v>45222</v>
      </c>
      <c r="C858" s="17">
        <v>2638</v>
      </c>
      <c r="D858" s="17" t="s">
        <v>782</v>
      </c>
      <c r="E858" s="19">
        <v>20</v>
      </c>
      <c r="F858" s="35" t="str">
        <f>IFERROR(LOOKUP(E858,CODIGOS!A:A,CODIGOS!B:B)," ")</f>
        <v>VISITA A FONELAS</v>
      </c>
      <c r="G858" s="9"/>
      <c r="H858" s="26">
        <v>5</v>
      </c>
      <c r="J858" s="38"/>
    </row>
    <row r="859" spans="1:10">
      <c r="A859" s="32">
        <f t="shared" si="4"/>
        <v>858</v>
      </c>
      <c r="B859" s="45">
        <v>45222</v>
      </c>
      <c r="C859" s="9">
        <v>2048</v>
      </c>
      <c r="D859" s="9" t="s">
        <v>783</v>
      </c>
      <c r="E859" s="34">
        <v>55</v>
      </c>
      <c r="F859" s="35">
        <f>IFERROR(LOOKUP(E859,CODIGOS!A:A,CODIGOS!B:B)," ")</f>
        <v>0</v>
      </c>
      <c r="G859" s="9"/>
      <c r="H859" s="36">
        <v>25</v>
      </c>
      <c r="I859" s="34" t="s">
        <v>11</v>
      </c>
      <c r="J859" s="38"/>
    </row>
    <row r="860" spans="1:10">
      <c r="A860" s="32">
        <f t="shared" si="4"/>
        <v>859</v>
      </c>
      <c r="B860" s="45">
        <v>45222</v>
      </c>
      <c r="C860" s="9">
        <v>2170</v>
      </c>
      <c r="D860" s="9" t="s">
        <v>784</v>
      </c>
      <c r="E860" s="34">
        <v>55</v>
      </c>
      <c r="F860" s="35">
        <f>IFERROR(LOOKUP(E860,CODIGOS!A:A,CODIGOS!B:B)," ")</f>
        <v>0</v>
      </c>
      <c r="G860" s="9"/>
      <c r="H860" s="36">
        <v>25</v>
      </c>
      <c r="I860" s="34" t="s">
        <v>11</v>
      </c>
      <c r="J860" s="38"/>
    </row>
    <row r="861" spans="1:10">
      <c r="A861" s="32">
        <f t="shared" si="4"/>
        <v>860</v>
      </c>
      <c r="B861" s="45">
        <v>45222</v>
      </c>
      <c r="C861" s="9">
        <v>1920</v>
      </c>
      <c r="D861" s="9" t="s">
        <v>785</v>
      </c>
      <c r="E861" s="34">
        <v>20</v>
      </c>
      <c r="F861" s="35" t="str">
        <f>IFERROR(LOOKUP(E861,CODIGOS!A:A,CODIGOS!B:B)," ")</f>
        <v>VISITA A FONELAS</v>
      </c>
      <c r="G861" s="9"/>
      <c r="H861" s="36">
        <v>5</v>
      </c>
      <c r="I861" s="34"/>
      <c r="J861" s="38"/>
    </row>
    <row r="862" spans="1:10">
      <c r="A862" s="32">
        <f t="shared" si="4"/>
        <v>861</v>
      </c>
      <c r="B862" s="45">
        <v>45222</v>
      </c>
      <c r="C862" s="9" t="s">
        <v>46</v>
      </c>
      <c r="D862" s="9" t="s">
        <v>786</v>
      </c>
      <c r="E862" s="34">
        <v>20</v>
      </c>
      <c r="F862" s="35" t="str">
        <f>IFERROR(LOOKUP(E862,CODIGOS!A:A,CODIGOS!B:B)," ")</f>
        <v>VISITA A FONELAS</v>
      </c>
      <c r="G862" s="9"/>
      <c r="H862" s="36">
        <v>5</v>
      </c>
      <c r="I862" s="34"/>
      <c r="J862" s="38"/>
    </row>
    <row r="863" spans="1:10">
      <c r="A863" s="32">
        <f t="shared" si="4"/>
        <v>862</v>
      </c>
      <c r="B863" s="45">
        <v>45222</v>
      </c>
      <c r="C863" s="9">
        <v>2566</v>
      </c>
      <c r="D863" s="9" t="s">
        <v>787</v>
      </c>
      <c r="E863" s="34">
        <v>20</v>
      </c>
      <c r="F863" s="35" t="str">
        <f>IFERROR(LOOKUP(E863,CODIGOS!A:A,CODIGOS!B:B)," ")</f>
        <v>VISITA A FONELAS</v>
      </c>
      <c r="G863" s="9"/>
      <c r="H863" s="36">
        <v>5</v>
      </c>
      <c r="I863" s="34"/>
      <c r="J863" s="38"/>
    </row>
    <row r="864" spans="1:10">
      <c r="A864" s="32">
        <f t="shared" si="4"/>
        <v>863</v>
      </c>
      <c r="B864" s="45">
        <v>45222</v>
      </c>
      <c r="C864" s="9">
        <v>2849</v>
      </c>
      <c r="D864" s="9" t="s">
        <v>788</v>
      </c>
      <c r="E864" s="34">
        <v>55</v>
      </c>
      <c r="F864" s="35">
        <f>IFERROR(LOOKUP(E864,CODIGOS!A:A,CODIGOS!B:B)," ")</f>
        <v>0</v>
      </c>
      <c r="G864" s="9" t="s">
        <v>789</v>
      </c>
      <c r="H864" s="36">
        <v>25</v>
      </c>
      <c r="I864" s="34" t="s">
        <v>11</v>
      </c>
      <c r="J864" s="38"/>
    </row>
    <row r="865" spans="1:10">
      <c r="A865" s="32">
        <f t="shared" si="4"/>
        <v>864</v>
      </c>
      <c r="B865" s="45">
        <v>45222</v>
      </c>
      <c r="C865" s="9">
        <v>2728</v>
      </c>
      <c r="D865" s="9" t="s">
        <v>790</v>
      </c>
      <c r="E865" s="34">
        <v>55</v>
      </c>
      <c r="F865" s="35">
        <f>IFERROR(LOOKUP(E865,CODIGOS!A:A,CODIGOS!B:B)," ")</f>
        <v>0</v>
      </c>
      <c r="G865" s="9"/>
      <c r="H865" s="36">
        <v>25</v>
      </c>
      <c r="I865" s="34" t="s">
        <v>11</v>
      </c>
      <c r="J865" s="38"/>
    </row>
    <row r="866" spans="1:10">
      <c r="A866" s="32">
        <f t="shared" si="4"/>
        <v>865</v>
      </c>
      <c r="B866" s="45">
        <v>45222</v>
      </c>
      <c r="C866" s="9">
        <v>2610</v>
      </c>
      <c r="D866" s="9" t="s">
        <v>791</v>
      </c>
      <c r="E866" s="34">
        <v>55</v>
      </c>
      <c r="F866" s="35">
        <f>IFERROR(LOOKUP(E866,CODIGOS!A:A,CODIGOS!B:B)," ")</f>
        <v>0</v>
      </c>
      <c r="G866" s="9"/>
      <c r="H866" s="36">
        <v>25</v>
      </c>
      <c r="I866" s="34" t="s">
        <v>11</v>
      </c>
      <c r="J866" s="38"/>
    </row>
    <row r="867" spans="1:10">
      <c r="A867" s="32">
        <f t="shared" si="4"/>
        <v>866</v>
      </c>
      <c r="B867" s="45">
        <v>45222</v>
      </c>
      <c r="C867" s="9">
        <v>2575</v>
      </c>
      <c r="D867" s="9" t="s">
        <v>792</v>
      </c>
      <c r="E867" s="34">
        <v>55</v>
      </c>
      <c r="F867" s="35">
        <f>IFERROR(LOOKUP(E867,CODIGOS!A:A,CODIGOS!B:B)," ")</f>
        <v>0</v>
      </c>
      <c r="G867" s="9"/>
      <c r="H867" s="36">
        <v>25</v>
      </c>
      <c r="I867" s="34" t="s">
        <v>11</v>
      </c>
      <c r="J867" s="38"/>
    </row>
    <row r="868" spans="1:10">
      <c r="A868" s="32">
        <f t="shared" si="4"/>
        <v>867</v>
      </c>
      <c r="B868" s="45">
        <v>45222</v>
      </c>
      <c r="C868" s="9">
        <v>949</v>
      </c>
      <c r="D868" s="9" t="s">
        <v>793</v>
      </c>
      <c r="E868" s="34">
        <v>55</v>
      </c>
      <c r="F868" s="35">
        <f>IFERROR(LOOKUP(E868,CODIGOS!A:A,CODIGOS!B:B)," ")</f>
        <v>0</v>
      </c>
      <c r="G868" s="9"/>
      <c r="H868" s="36">
        <v>25</v>
      </c>
      <c r="I868" s="34" t="s">
        <v>11</v>
      </c>
      <c r="J868" s="38"/>
    </row>
    <row r="869" spans="1:10">
      <c r="A869" s="32">
        <f t="shared" si="4"/>
        <v>868</v>
      </c>
      <c r="B869" s="45">
        <v>45222</v>
      </c>
      <c r="C869" s="9">
        <v>2844</v>
      </c>
      <c r="D869" s="9" t="s">
        <v>794</v>
      </c>
      <c r="E869" s="34">
        <v>55</v>
      </c>
      <c r="F869" s="35">
        <f>IFERROR(LOOKUP(E869,CODIGOS!A:A,CODIGOS!B:B)," ")</f>
        <v>0</v>
      </c>
      <c r="G869" s="9" t="s">
        <v>789</v>
      </c>
      <c r="H869" s="36">
        <v>25</v>
      </c>
      <c r="I869" s="34" t="s">
        <v>11</v>
      </c>
      <c r="J869" s="38"/>
    </row>
    <row r="870" spans="1:10">
      <c r="A870" s="32">
        <f t="shared" si="4"/>
        <v>869</v>
      </c>
      <c r="B870" s="45">
        <v>45222</v>
      </c>
      <c r="C870" s="9">
        <v>2845</v>
      </c>
      <c r="D870" s="9" t="s">
        <v>795</v>
      </c>
      <c r="E870" s="34">
        <v>55</v>
      </c>
      <c r="F870" s="35">
        <f>IFERROR(LOOKUP(E870,CODIGOS!A:A,CODIGOS!B:B)," ")</f>
        <v>0</v>
      </c>
      <c r="G870" s="9" t="s">
        <v>789</v>
      </c>
      <c r="H870" s="36">
        <v>25</v>
      </c>
      <c r="I870" s="34" t="s">
        <v>11</v>
      </c>
      <c r="J870" s="38"/>
    </row>
    <row r="871" spans="1:10">
      <c r="A871" s="32">
        <f t="shared" si="4"/>
        <v>870</v>
      </c>
      <c r="B871" s="45">
        <v>45222</v>
      </c>
      <c r="C871" s="9">
        <v>2556</v>
      </c>
      <c r="D871" s="9" t="s">
        <v>89</v>
      </c>
      <c r="E871" s="34">
        <v>55</v>
      </c>
      <c r="F871" s="35">
        <f>IFERROR(LOOKUP(E871,CODIGOS!A:A,CODIGOS!B:B)," ")</f>
        <v>0</v>
      </c>
      <c r="G871" s="9"/>
      <c r="H871" s="36">
        <v>25</v>
      </c>
      <c r="I871" s="34" t="s">
        <v>11</v>
      </c>
      <c r="J871" s="38"/>
    </row>
    <row r="872" spans="1:10">
      <c r="A872" s="32">
        <f t="shared" si="4"/>
        <v>871</v>
      </c>
      <c r="B872" s="45">
        <v>45222</v>
      </c>
      <c r="C872" s="9">
        <v>2846</v>
      </c>
      <c r="D872" s="9" t="s">
        <v>796</v>
      </c>
      <c r="E872" s="34">
        <v>55</v>
      </c>
      <c r="F872" s="35">
        <f>IFERROR(LOOKUP(E872,CODIGOS!A:A,CODIGOS!B:B)," ")</f>
        <v>0</v>
      </c>
      <c r="G872" s="9" t="s">
        <v>789</v>
      </c>
      <c r="H872" s="36">
        <v>25</v>
      </c>
      <c r="I872" s="34" t="s">
        <v>11</v>
      </c>
      <c r="J872" s="38"/>
    </row>
    <row r="873" spans="1:10">
      <c r="A873" s="32">
        <f t="shared" si="4"/>
        <v>872</v>
      </c>
      <c r="B873" s="45">
        <v>45222</v>
      </c>
      <c r="C873" s="9">
        <v>2675</v>
      </c>
      <c r="D873" s="9" t="s">
        <v>797</v>
      </c>
      <c r="E873" s="34">
        <v>55</v>
      </c>
      <c r="F873" s="35">
        <f>IFERROR(LOOKUP(E873,CODIGOS!A:A,CODIGOS!B:B)," ")</f>
        <v>0</v>
      </c>
      <c r="G873" s="9"/>
      <c r="H873" s="36">
        <v>25</v>
      </c>
      <c r="I873" s="34" t="s">
        <v>11</v>
      </c>
      <c r="J873" s="38"/>
    </row>
    <row r="874" spans="1:10">
      <c r="A874" s="32">
        <f t="shared" si="4"/>
        <v>873</v>
      </c>
      <c r="B874" s="45">
        <v>45222</v>
      </c>
      <c r="C874" s="9">
        <v>2847</v>
      </c>
      <c r="D874" s="9" t="s">
        <v>798</v>
      </c>
      <c r="E874" s="34">
        <v>55</v>
      </c>
      <c r="F874" s="35">
        <f>IFERROR(LOOKUP(E874,CODIGOS!A:A,CODIGOS!B:B)," ")</f>
        <v>0</v>
      </c>
      <c r="G874" s="9" t="s">
        <v>789</v>
      </c>
      <c r="H874" s="36">
        <v>25</v>
      </c>
      <c r="I874" s="34" t="s">
        <v>11</v>
      </c>
      <c r="J874" s="38"/>
    </row>
    <row r="875" spans="1:10">
      <c r="A875" s="32">
        <f t="shared" si="4"/>
        <v>874</v>
      </c>
      <c r="B875" s="45">
        <v>45222</v>
      </c>
      <c r="C875" s="9">
        <v>2848</v>
      </c>
      <c r="D875" s="9" t="s">
        <v>799</v>
      </c>
      <c r="E875" s="34">
        <v>55</v>
      </c>
      <c r="F875" s="35">
        <f>IFERROR(LOOKUP(E875,CODIGOS!A:A,CODIGOS!B:B)," ")</f>
        <v>0</v>
      </c>
      <c r="G875" s="9" t="s">
        <v>789</v>
      </c>
      <c r="H875" s="36">
        <v>25</v>
      </c>
      <c r="I875" s="34" t="s">
        <v>11</v>
      </c>
      <c r="J875" s="38"/>
    </row>
    <row r="876" spans="1:10">
      <c r="A876" s="32">
        <f t="shared" si="4"/>
        <v>875</v>
      </c>
      <c r="B876" s="45">
        <v>45222</v>
      </c>
      <c r="C876" s="9">
        <v>2850</v>
      </c>
      <c r="D876" s="9" t="s">
        <v>800</v>
      </c>
      <c r="E876" s="34">
        <v>55</v>
      </c>
      <c r="F876" s="35">
        <f>IFERROR(LOOKUP(E876,CODIGOS!A:A,CODIGOS!B:B)," ")</f>
        <v>0</v>
      </c>
      <c r="G876" s="9" t="s">
        <v>789</v>
      </c>
      <c r="H876" s="36">
        <v>25</v>
      </c>
      <c r="I876" s="34" t="s">
        <v>11</v>
      </c>
      <c r="J876" s="38"/>
    </row>
    <row r="877" spans="1:10">
      <c r="A877" s="32">
        <f t="shared" si="4"/>
        <v>876</v>
      </c>
      <c r="B877" s="45">
        <v>45222</v>
      </c>
      <c r="C877" s="9">
        <v>2577</v>
      </c>
      <c r="D877" s="9" t="s">
        <v>165</v>
      </c>
      <c r="E877" s="34">
        <v>55</v>
      </c>
      <c r="F877" s="35">
        <f>IFERROR(LOOKUP(E877,CODIGOS!A:A,CODIGOS!B:B)," ")</f>
        <v>0</v>
      </c>
      <c r="G877" s="9"/>
      <c r="H877" s="36">
        <v>25</v>
      </c>
      <c r="I877" s="34" t="s">
        <v>11</v>
      </c>
      <c r="J877" s="38"/>
    </row>
    <row r="878" spans="1:10" ht="15">
      <c r="A878" s="32">
        <f t="shared" si="4"/>
        <v>877</v>
      </c>
      <c r="B878" s="33">
        <v>45223</v>
      </c>
      <c r="C878" s="46">
        <v>2851</v>
      </c>
      <c r="D878" s="47" t="s">
        <v>801</v>
      </c>
      <c r="E878" s="34">
        <v>55</v>
      </c>
      <c r="F878" s="35">
        <f>IFERROR(LOOKUP(E878,CODIGOS!A:A,CODIGOS!B:B)," ")</f>
        <v>0</v>
      </c>
      <c r="G878" s="47"/>
      <c r="H878" s="48">
        <v>25</v>
      </c>
      <c r="I878" s="54" t="s">
        <v>115</v>
      </c>
      <c r="J878" s="38"/>
    </row>
    <row r="879" spans="1:10" ht="15">
      <c r="A879" s="32">
        <f t="shared" si="4"/>
        <v>878</v>
      </c>
      <c r="B879" s="33">
        <v>45223</v>
      </c>
      <c r="C879" s="49">
        <v>2043</v>
      </c>
      <c r="D879" s="47" t="s">
        <v>802</v>
      </c>
      <c r="E879" s="34">
        <v>55</v>
      </c>
      <c r="F879" s="35">
        <f>IFERROR(LOOKUP(E879,CODIGOS!A:A,CODIGOS!B:B)," ")</f>
        <v>0</v>
      </c>
      <c r="G879" s="47"/>
      <c r="H879" s="50">
        <v>25</v>
      </c>
      <c r="I879" s="54" t="s">
        <v>115</v>
      </c>
      <c r="J879" s="38"/>
    </row>
    <row r="880" spans="1:10" ht="15">
      <c r="A880" s="32">
        <f t="shared" si="4"/>
        <v>879</v>
      </c>
      <c r="B880" s="33">
        <v>45223</v>
      </c>
      <c r="C880" s="49">
        <v>2852</v>
      </c>
      <c r="D880" s="47" t="s">
        <v>803</v>
      </c>
      <c r="E880" s="34">
        <v>55</v>
      </c>
      <c r="F880" s="35">
        <f>IFERROR(LOOKUP(E880,CODIGOS!A:A,CODIGOS!B:B)," ")</f>
        <v>0</v>
      </c>
      <c r="G880" s="47"/>
      <c r="H880" s="50">
        <v>25</v>
      </c>
      <c r="I880" s="54" t="s">
        <v>115</v>
      </c>
      <c r="J880" s="38"/>
    </row>
    <row r="881" spans="1:10" ht="15">
      <c r="A881" s="32">
        <f t="shared" si="4"/>
        <v>880</v>
      </c>
      <c r="B881" s="33">
        <v>45223</v>
      </c>
      <c r="C881" s="49">
        <v>2853</v>
      </c>
      <c r="D881" s="47" t="s">
        <v>804</v>
      </c>
      <c r="E881" s="34">
        <v>55</v>
      </c>
      <c r="F881" s="35">
        <f>IFERROR(LOOKUP(E881,CODIGOS!A:A,CODIGOS!B:B)," ")</f>
        <v>0</v>
      </c>
      <c r="G881" s="47"/>
      <c r="H881" s="50">
        <v>25</v>
      </c>
      <c r="I881" s="54" t="s">
        <v>115</v>
      </c>
      <c r="J881" s="38"/>
    </row>
    <row r="882" spans="1:10" ht="15">
      <c r="A882" s="32">
        <f t="shared" si="4"/>
        <v>881</v>
      </c>
      <c r="B882" s="33">
        <v>45223</v>
      </c>
      <c r="C882" s="49">
        <v>2854</v>
      </c>
      <c r="D882" s="47" t="s">
        <v>805</v>
      </c>
      <c r="E882" s="34">
        <v>55</v>
      </c>
      <c r="F882" s="35">
        <f>IFERROR(LOOKUP(E882,CODIGOS!A:A,CODIGOS!B:B)," ")</f>
        <v>0</v>
      </c>
      <c r="G882" s="47"/>
      <c r="H882" s="50">
        <v>25</v>
      </c>
      <c r="I882" s="54" t="s">
        <v>115</v>
      </c>
      <c r="J882" s="38"/>
    </row>
    <row r="883" spans="1:10" ht="15">
      <c r="A883" s="32">
        <f t="shared" si="4"/>
        <v>882</v>
      </c>
      <c r="B883" s="33">
        <v>45223</v>
      </c>
      <c r="C883" s="51">
        <v>2787</v>
      </c>
      <c r="D883" s="47" t="s">
        <v>806</v>
      </c>
      <c r="E883" s="34">
        <v>20</v>
      </c>
      <c r="F883" s="35" t="str">
        <f>IFERROR(LOOKUP(E883,CODIGOS!A:A,CODIGOS!B:B)," ")</f>
        <v>VISITA A FONELAS</v>
      </c>
      <c r="G883" s="47"/>
      <c r="H883" s="50">
        <v>5</v>
      </c>
      <c r="I883" s="54"/>
      <c r="J883" s="38"/>
    </row>
    <row r="884" spans="1:10" ht="15">
      <c r="A884" s="32">
        <f t="shared" si="4"/>
        <v>883</v>
      </c>
      <c r="B884" s="33">
        <v>45223</v>
      </c>
      <c r="C884" s="51">
        <v>2788</v>
      </c>
      <c r="D884" s="47" t="s">
        <v>807</v>
      </c>
      <c r="E884" s="34">
        <v>20</v>
      </c>
      <c r="F884" s="35" t="str">
        <f>IFERROR(LOOKUP(E884,CODIGOS!A:A,CODIGOS!B:B)," ")</f>
        <v>VISITA A FONELAS</v>
      </c>
      <c r="G884" s="47"/>
      <c r="H884" s="50">
        <v>5</v>
      </c>
      <c r="I884" s="54"/>
      <c r="J884" s="38"/>
    </row>
    <row r="885" spans="1:10" ht="15">
      <c r="A885" s="32">
        <f t="shared" si="4"/>
        <v>884</v>
      </c>
      <c r="B885" s="33">
        <v>45223</v>
      </c>
      <c r="C885" s="51">
        <v>2629</v>
      </c>
      <c r="D885" s="47" t="s">
        <v>808</v>
      </c>
      <c r="E885" s="34">
        <v>20</v>
      </c>
      <c r="F885" s="35" t="str">
        <f>IFERROR(LOOKUP(E885,CODIGOS!A:A,CODIGOS!B:B)," ")</f>
        <v>VISITA A FONELAS</v>
      </c>
      <c r="G885" s="47"/>
      <c r="H885" s="50">
        <v>5</v>
      </c>
      <c r="I885" s="54"/>
      <c r="J885" s="38"/>
    </row>
    <row r="886" spans="1:10" ht="15">
      <c r="A886" s="32">
        <f t="shared" si="4"/>
        <v>885</v>
      </c>
      <c r="B886" s="33">
        <v>45223</v>
      </c>
      <c r="C886" s="51">
        <v>2489</v>
      </c>
      <c r="D886" s="47" t="s">
        <v>809</v>
      </c>
      <c r="E886" s="34">
        <v>21</v>
      </c>
      <c r="F886" s="35">
        <f>IFERROR(LOOKUP(E886,CODIGOS!A:A,CODIGOS!B:B)," ")</f>
        <v>0</v>
      </c>
      <c r="G886" s="47"/>
      <c r="H886" s="50">
        <v>5</v>
      </c>
      <c r="I886" s="54"/>
      <c r="J886" s="38"/>
    </row>
    <row r="887" spans="1:10" ht="15">
      <c r="A887" s="32">
        <f t="shared" si="4"/>
        <v>886</v>
      </c>
      <c r="B887" s="33">
        <v>45223</v>
      </c>
      <c r="C887" s="51">
        <v>2369</v>
      </c>
      <c r="D887" s="47" t="s">
        <v>810</v>
      </c>
      <c r="E887" s="34">
        <v>21</v>
      </c>
      <c r="F887" s="35">
        <f>IFERROR(LOOKUP(E887,CODIGOS!A:A,CODIGOS!B:B)," ")</f>
        <v>0</v>
      </c>
      <c r="G887" s="47"/>
      <c r="H887" s="50">
        <v>5</v>
      </c>
      <c r="I887" s="54"/>
      <c r="J887" s="38"/>
    </row>
    <row r="888" spans="1:10" ht="15">
      <c r="A888" s="32">
        <f t="shared" si="4"/>
        <v>887</v>
      </c>
      <c r="B888" s="33">
        <v>45223</v>
      </c>
      <c r="C888" s="51">
        <v>2855</v>
      </c>
      <c r="D888" s="47" t="s">
        <v>811</v>
      </c>
      <c r="E888" s="34">
        <v>55</v>
      </c>
      <c r="F888" s="35">
        <f>IFERROR(LOOKUP(E888,CODIGOS!A:A,CODIGOS!B:B)," ")</f>
        <v>0</v>
      </c>
      <c r="G888" s="47"/>
      <c r="H888" s="50">
        <v>25</v>
      </c>
      <c r="I888" s="54" t="s">
        <v>115</v>
      </c>
      <c r="J888" s="38"/>
    </row>
    <row r="889" spans="1:10" ht="15">
      <c r="A889" s="32">
        <f t="shared" si="4"/>
        <v>888</v>
      </c>
      <c r="B889" s="33">
        <v>45223</v>
      </c>
      <c r="C889" s="51">
        <v>2609</v>
      </c>
      <c r="D889" s="47" t="s">
        <v>812</v>
      </c>
      <c r="E889" s="34">
        <v>21</v>
      </c>
      <c r="F889" s="35">
        <f>IFERROR(LOOKUP(E889,CODIGOS!A:A,CODIGOS!B:B)," ")</f>
        <v>0</v>
      </c>
      <c r="G889" s="47"/>
      <c r="H889" s="50">
        <v>5</v>
      </c>
      <c r="I889" s="54"/>
      <c r="J889" s="38"/>
    </row>
    <row r="890" spans="1:10" ht="15">
      <c r="A890" s="32">
        <f t="shared" si="4"/>
        <v>889</v>
      </c>
      <c r="B890" s="33">
        <v>45223</v>
      </c>
      <c r="C890" s="51"/>
      <c r="D890" s="47" t="s">
        <v>813</v>
      </c>
      <c r="E890" s="34">
        <v>21</v>
      </c>
      <c r="F890" s="35">
        <f>IFERROR(LOOKUP(E890,CODIGOS!A:A,CODIGOS!B:B)," ")</f>
        <v>0</v>
      </c>
      <c r="G890" s="47"/>
      <c r="H890" s="50"/>
      <c r="I890" s="54"/>
      <c r="J890" s="38"/>
    </row>
    <row r="891" spans="1:10" ht="15">
      <c r="A891" s="32">
        <f t="shared" si="4"/>
        <v>890</v>
      </c>
      <c r="B891" s="33">
        <v>45223</v>
      </c>
      <c r="C891" s="51">
        <v>2343</v>
      </c>
      <c r="D891" s="47" t="s">
        <v>814</v>
      </c>
      <c r="E891" s="34">
        <v>55</v>
      </c>
      <c r="F891" s="35">
        <f>IFERROR(LOOKUP(E891,CODIGOS!A:A,CODIGOS!B:B)," ")</f>
        <v>0</v>
      </c>
      <c r="G891" s="47"/>
      <c r="H891" s="50">
        <v>25</v>
      </c>
      <c r="I891" s="54" t="s">
        <v>20</v>
      </c>
      <c r="J891" s="38"/>
    </row>
    <row r="892" spans="1:10" ht="15">
      <c r="A892" s="32">
        <f t="shared" si="4"/>
        <v>891</v>
      </c>
      <c r="B892" s="33">
        <v>45223</v>
      </c>
      <c r="C892" s="51">
        <v>2520</v>
      </c>
      <c r="D892" s="47" t="s">
        <v>815</v>
      </c>
      <c r="E892" s="34">
        <v>55</v>
      </c>
      <c r="F892" s="35">
        <f>IFERROR(LOOKUP(E892,CODIGOS!A:A,CODIGOS!B:B)," ")</f>
        <v>0</v>
      </c>
      <c r="G892" s="47"/>
      <c r="H892" s="50">
        <v>25</v>
      </c>
      <c r="I892" s="54" t="s">
        <v>115</v>
      </c>
      <c r="J892" s="38"/>
    </row>
    <row r="893" spans="1:10" ht="15">
      <c r="A893" s="32">
        <f t="shared" si="4"/>
        <v>892</v>
      </c>
      <c r="B893" s="33">
        <v>45223</v>
      </c>
      <c r="C893" s="51">
        <v>1944</v>
      </c>
      <c r="D893" s="47" t="s">
        <v>816</v>
      </c>
      <c r="E893" s="34">
        <v>22</v>
      </c>
      <c r="F893" s="35">
        <f>IFERROR(LOOKUP(E893,CODIGOS!A:A,CODIGOS!B:B)," ")</f>
        <v>0</v>
      </c>
      <c r="G893" s="47"/>
      <c r="H893" s="50">
        <v>-15</v>
      </c>
      <c r="I893" s="54"/>
      <c r="J893" s="38"/>
    </row>
    <row r="894" spans="1:10" ht="15">
      <c r="A894" s="32">
        <f t="shared" si="4"/>
        <v>893</v>
      </c>
      <c r="B894" s="33">
        <v>45223</v>
      </c>
      <c r="C894" s="51">
        <v>2770</v>
      </c>
      <c r="D894" s="47" t="s">
        <v>817</v>
      </c>
      <c r="E894" s="34">
        <v>22</v>
      </c>
      <c r="F894" s="35">
        <f>IFERROR(LOOKUP(E894,CODIGOS!A:A,CODIGOS!B:B)," ")</f>
        <v>0</v>
      </c>
      <c r="G894" s="47"/>
      <c r="H894" s="52">
        <v>-15</v>
      </c>
      <c r="I894" s="54"/>
      <c r="J894" s="38"/>
    </row>
    <row r="895" spans="1:10" ht="15">
      <c r="A895" s="32">
        <f t="shared" si="4"/>
        <v>894</v>
      </c>
      <c r="B895" s="33">
        <v>45223</v>
      </c>
      <c r="C895" s="51">
        <v>2032</v>
      </c>
      <c r="D895" s="47" t="s">
        <v>818</v>
      </c>
      <c r="E895" s="34">
        <v>55</v>
      </c>
      <c r="F895" s="35">
        <f>IFERROR(LOOKUP(E895,CODIGOS!A:A,CODIGOS!B:B)," ")</f>
        <v>0</v>
      </c>
      <c r="G895" s="47"/>
      <c r="H895" s="53">
        <v>25</v>
      </c>
      <c r="I895" s="54" t="s">
        <v>20</v>
      </c>
      <c r="J895" s="38"/>
    </row>
    <row r="896" spans="1:10" ht="15">
      <c r="A896" s="32">
        <f t="shared" si="4"/>
        <v>895</v>
      </c>
      <c r="B896" s="33">
        <v>45223</v>
      </c>
      <c r="C896" s="51">
        <v>2816</v>
      </c>
      <c r="D896" s="47" t="s">
        <v>819</v>
      </c>
      <c r="E896" s="34">
        <v>21</v>
      </c>
      <c r="F896" s="35">
        <f>IFERROR(LOOKUP(E896,CODIGOS!A:A,CODIGOS!B:B)," ")</f>
        <v>0</v>
      </c>
      <c r="G896" s="47"/>
      <c r="H896" s="50">
        <v>5</v>
      </c>
      <c r="I896" s="54"/>
      <c r="J896" s="38"/>
    </row>
    <row r="897" spans="1:10" ht="15">
      <c r="A897" s="32">
        <f t="shared" si="4"/>
        <v>896</v>
      </c>
      <c r="B897" s="33">
        <v>45223</v>
      </c>
      <c r="C897" s="51">
        <v>2671</v>
      </c>
      <c r="D897" s="47" t="s">
        <v>820</v>
      </c>
      <c r="E897" s="34">
        <v>55</v>
      </c>
      <c r="F897" s="35">
        <f>IFERROR(LOOKUP(E897,CODIGOS!A:A,CODIGOS!B:B)," ")</f>
        <v>0</v>
      </c>
      <c r="G897" s="47"/>
      <c r="H897" s="50">
        <v>25</v>
      </c>
      <c r="I897" s="54" t="s">
        <v>115</v>
      </c>
      <c r="J897" s="38"/>
    </row>
    <row r="898" spans="1:10" ht="15">
      <c r="A898" s="32">
        <f t="shared" si="4"/>
        <v>897</v>
      </c>
      <c r="B898" s="33">
        <v>45223</v>
      </c>
      <c r="C898" s="51">
        <v>2855</v>
      </c>
      <c r="D898" s="47" t="s">
        <v>811</v>
      </c>
      <c r="E898" s="34">
        <v>21</v>
      </c>
      <c r="F898" s="35">
        <f>IFERROR(LOOKUP(E898,CODIGOS!A:A,CODIGOS!B:B)," ")</f>
        <v>0</v>
      </c>
      <c r="G898" s="47"/>
      <c r="H898" s="50">
        <v>5</v>
      </c>
      <c r="I898" s="54"/>
      <c r="J898" s="38"/>
    </row>
    <row r="899" spans="1:10" ht="15">
      <c r="A899" s="32">
        <f t="shared" si="4"/>
        <v>898</v>
      </c>
      <c r="B899" s="33">
        <v>45223</v>
      </c>
      <c r="C899" s="51" t="s">
        <v>821</v>
      </c>
      <c r="D899" s="47" t="s">
        <v>822</v>
      </c>
      <c r="E899" s="34">
        <v>21</v>
      </c>
      <c r="F899" s="35">
        <f>IFERROR(LOOKUP(E899,CODIGOS!A:A,CODIGOS!B:B)," ")</f>
        <v>0</v>
      </c>
      <c r="G899" s="47"/>
      <c r="H899" s="50">
        <v>10</v>
      </c>
      <c r="I899" s="54"/>
      <c r="J899" s="38"/>
    </row>
    <row r="900" spans="1:10" ht="15">
      <c r="A900" s="32">
        <f t="shared" si="4"/>
        <v>899</v>
      </c>
      <c r="B900" s="33">
        <v>45223</v>
      </c>
      <c r="C900" s="51">
        <v>1581</v>
      </c>
      <c r="D900" s="47" t="s">
        <v>823</v>
      </c>
      <c r="E900" s="34">
        <v>21</v>
      </c>
      <c r="F900" s="35">
        <f>IFERROR(LOOKUP(E900,CODIGOS!A:A,CODIGOS!B:B)," ")</f>
        <v>0</v>
      </c>
      <c r="G900" s="47"/>
      <c r="H900" s="50">
        <v>5</v>
      </c>
      <c r="I900" s="54"/>
      <c r="J900" s="38"/>
    </row>
    <row r="901" spans="1:10">
      <c r="A901" s="32">
        <f t="shared" si="4"/>
        <v>900</v>
      </c>
      <c r="B901" s="33">
        <v>45224</v>
      </c>
      <c r="C901" s="9">
        <v>2338</v>
      </c>
      <c r="D901" s="9" t="s">
        <v>202</v>
      </c>
      <c r="E901" s="34">
        <v>21</v>
      </c>
      <c r="F901" s="35">
        <f>IFERROR(LOOKUP(E901,CODIGOS!A:A,CODIGOS!B:B)," ")</f>
        <v>0</v>
      </c>
      <c r="G901" s="9" t="s">
        <v>824</v>
      </c>
      <c r="H901" s="36">
        <v>5</v>
      </c>
      <c r="I901" s="34"/>
      <c r="J901" s="38"/>
    </row>
    <row r="902" spans="1:10">
      <c r="A902" s="32">
        <f t="shared" si="4"/>
        <v>901</v>
      </c>
      <c r="B902" s="33">
        <v>45224</v>
      </c>
      <c r="C902" s="9">
        <v>2105</v>
      </c>
      <c r="D902" s="9" t="s">
        <v>19</v>
      </c>
      <c r="E902" s="34">
        <v>55</v>
      </c>
      <c r="F902" s="35">
        <f>IFERROR(LOOKUP(E902,CODIGOS!A:A,CODIGOS!B:B)," ")</f>
        <v>0</v>
      </c>
      <c r="G902" s="9"/>
      <c r="H902" s="36">
        <v>25</v>
      </c>
      <c r="I902" s="34" t="s">
        <v>20</v>
      </c>
      <c r="J902" s="38"/>
    </row>
    <row r="903" spans="1:10">
      <c r="A903" s="32">
        <f t="shared" si="4"/>
        <v>902</v>
      </c>
      <c r="B903" s="33">
        <v>45224</v>
      </c>
      <c r="C903" s="9">
        <v>2722</v>
      </c>
      <c r="D903" s="9" t="s">
        <v>825</v>
      </c>
      <c r="E903" s="34">
        <v>55</v>
      </c>
      <c r="F903" s="35">
        <f>IFERROR(LOOKUP(E903,CODIGOS!A:A,CODIGOS!B:B)," ")</f>
        <v>0</v>
      </c>
      <c r="G903" s="9"/>
      <c r="H903" s="36">
        <v>25</v>
      </c>
      <c r="I903" s="34" t="s">
        <v>11</v>
      </c>
      <c r="J903" s="38"/>
    </row>
    <row r="904" spans="1:10">
      <c r="A904" s="32">
        <f t="shared" si="4"/>
        <v>903</v>
      </c>
      <c r="B904" s="33">
        <v>45224</v>
      </c>
      <c r="C904" s="9">
        <v>1923</v>
      </c>
      <c r="D904" s="9" t="s">
        <v>826</v>
      </c>
      <c r="E904" s="34">
        <v>55</v>
      </c>
      <c r="F904" s="35">
        <f>IFERROR(LOOKUP(E904,CODIGOS!A:A,CODIGOS!B:B)," ")</f>
        <v>0</v>
      </c>
      <c r="G904" s="9"/>
      <c r="H904" s="36">
        <v>25</v>
      </c>
      <c r="I904" s="34" t="s">
        <v>20</v>
      </c>
      <c r="J904" s="38"/>
    </row>
    <row r="905" spans="1:10">
      <c r="A905" s="32">
        <f t="shared" si="4"/>
        <v>904</v>
      </c>
      <c r="B905" s="33">
        <v>45224</v>
      </c>
      <c r="C905" s="9">
        <v>2856</v>
      </c>
      <c r="D905" s="9" t="s">
        <v>827</v>
      </c>
      <c r="E905" s="34">
        <v>23</v>
      </c>
      <c r="F905" s="35">
        <f>IFERROR(LOOKUP(E905,CODIGOS!A:A,CODIGOS!B:B)," ")</f>
        <v>0</v>
      </c>
      <c r="G905" s="9"/>
      <c r="H905" s="36">
        <v>25</v>
      </c>
      <c r="I905" s="34" t="s">
        <v>11</v>
      </c>
      <c r="J905" s="38"/>
    </row>
    <row r="906" spans="1:10">
      <c r="A906" s="32">
        <f t="shared" si="4"/>
        <v>905</v>
      </c>
      <c r="B906" s="33">
        <v>45224</v>
      </c>
      <c r="C906" s="9">
        <v>2857</v>
      </c>
      <c r="D906" s="9" t="s">
        <v>828</v>
      </c>
      <c r="E906" s="34">
        <v>23</v>
      </c>
      <c r="F906" s="35">
        <f>IFERROR(LOOKUP(E906,CODIGOS!A:A,CODIGOS!B:B)," ")</f>
        <v>0</v>
      </c>
      <c r="G906" s="9"/>
      <c r="H906" s="36">
        <v>25</v>
      </c>
      <c r="I906" s="34" t="s">
        <v>11</v>
      </c>
      <c r="J906" s="38"/>
    </row>
    <row r="907" spans="1:10">
      <c r="A907" s="32">
        <f t="shared" si="4"/>
        <v>906</v>
      </c>
      <c r="B907" s="33">
        <v>45224</v>
      </c>
      <c r="C907" s="9">
        <v>2858</v>
      </c>
      <c r="D907" s="9" t="s">
        <v>829</v>
      </c>
      <c r="E907" s="34">
        <v>23</v>
      </c>
      <c r="F907" s="35">
        <f>IFERROR(LOOKUP(E907,CODIGOS!A:A,CODIGOS!B:B)," ")</f>
        <v>0</v>
      </c>
      <c r="G907" s="9"/>
      <c r="H907" s="36">
        <v>25</v>
      </c>
      <c r="I907" s="34" t="s">
        <v>11</v>
      </c>
      <c r="J907" s="38"/>
    </row>
    <row r="908" spans="1:10">
      <c r="A908" s="32">
        <f t="shared" si="4"/>
        <v>907</v>
      </c>
      <c r="B908" s="33">
        <v>45224</v>
      </c>
      <c r="C908" s="9">
        <v>2752</v>
      </c>
      <c r="D908" s="9" t="s">
        <v>830</v>
      </c>
      <c r="E908" s="34">
        <v>21</v>
      </c>
      <c r="F908" s="35">
        <f>IFERROR(LOOKUP(E908,CODIGOS!A:A,CODIGOS!B:B)," ")</f>
        <v>0</v>
      </c>
      <c r="G908" s="9"/>
      <c r="H908" s="36">
        <v>5</v>
      </c>
      <c r="I908" s="34"/>
      <c r="J908" s="38"/>
    </row>
    <row r="909" spans="1:10">
      <c r="A909" s="32">
        <f t="shared" si="4"/>
        <v>908</v>
      </c>
      <c r="B909" s="33">
        <v>45224</v>
      </c>
      <c r="C909" s="9">
        <v>2501</v>
      </c>
      <c r="D909" s="9" t="s">
        <v>831</v>
      </c>
      <c r="E909" s="34">
        <v>55</v>
      </c>
      <c r="F909" s="35">
        <f>IFERROR(LOOKUP(E909,CODIGOS!A:A,CODIGOS!B:B)," ")</f>
        <v>0</v>
      </c>
      <c r="G909" s="9"/>
      <c r="H909" s="36">
        <v>25</v>
      </c>
      <c r="I909" s="34" t="s">
        <v>11</v>
      </c>
      <c r="J909" s="38"/>
    </row>
    <row r="910" spans="1:10">
      <c r="A910" s="32">
        <f t="shared" si="4"/>
        <v>909</v>
      </c>
      <c r="B910" s="33">
        <v>45224</v>
      </c>
      <c r="C910" s="9">
        <v>2859</v>
      </c>
      <c r="D910" s="9" t="s">
        <v>832</v>
      </c>
      <c r="E910" s="34">
        <v>23</v>
      </c>
      <c r="F910" s="35">
        <f>IFERROR(LOOKUP(E910,CODIGOS!A:A,CODIGOS!B:B)," ")</f>
        <v>0</v>
      </c>
      <c r="G910" s="9"/>
      <c r="H910" s="36">
        <v>25</v>
      </c>
      <c r="I910" s="34" t="s">
        <v>20</v>
      </c>
      <c r="J910" s="38"/>
    </row>
    <row r="911" spans="1:10">
      <c r="A911" s="32">
        <f t="shared" ref="A911:A974" si="5">IF(B911&lt;&gt;0,A910+1," ")</f>
        <v>910</v>
      </c>
      <c r="B911" s="33">
        <v>45229</v>
      </c>
      <c r="C911" s="9">
        <v>2860</v>
      </c>
      <c r="D911" s="9" t="s">
        <v>833</v>
      </c>
      <c r="E911" s="34">
        <v>23</v>
      </c>
      <c r="F911" s="35">
        <f>IFERROR(LOOKUP(E911,CODIGOS!A:A,CODIGOS!B:B)," ")</f>
        <v>0</v>
      </c>
      <c r="G911" s="9"/>
      <c r="H911" s="36">
        <v>25</v>
      </c>
      <c r="I911" s="34" t="s">
        <v>20</v>
      </c>
      <c r="J911" s="38"/>
    </row>
    <row r="912" spans="1:10">
      <c r="A912" s="32">
        <f t="shared" si="5"/>
        <v>911</v>
      </c>
      <c r="B912" s="33">
        <v>45229</v>
      </c>
      <c r="C912" s="9">
        <v>2794</v>
      </c>
      <c r="D912" s="9" t="s">
        <v>834</v>
      </c>
      <c r="E912" s="34">
        <v>21</v>
      </c>
      <c r="F912" s="35">
        <f>IFERROR(LOOKUP(E912,CODIGOS!A:A,CODIGOS!B:B)," ")</f>
        <v>0</v>
      </c>
      <c r="G912" s="9"/>
      <c r="H912" s="36">
        <v>5</v>
      </c>
      <c r="I912" s="34"/>
      <c r="J912" s="38"/>
    </row>
    <row r="913" spans="1:10">
      <c r="A913" s="32">
        <f t="shared" si="5"/>
        <v>912</v>
      </c>
      <c r="B913" s="33">
        <v>45229</v>
      </c>
      <c r="C913" s="9" t="s">
        <v>46</v>
      </c>
      <c r="D913" s="9" t="s">
        <v>835</v>
      </c>
      <c r="E913" s="34">
        <v>21</v>
      </c>
      <c r="F913" s="35">
        <f>IFERROR(LOOKUP(E913,CODIGOS!A:A,CODIGOS!B:B)," ")</f>
        <v>0</v>
      </c>
      <c r="G913" s="9"/>
      <c r="H913" s="36">
        <v>5</v>
      </c>
      <c r="I913" s="34"/>
      <c r="J913" s="38"/>
    </row>
    <row r="914" spans="1:10">
      <c r="A914" s="32">
        <f t="shared" si="5"/>
        <v>913</v>
      </c>
      <c r="B914" s="33">
        <v>45229</v>
      </c>
      <c r="C914" s="9">
        <v>1823</v>
      </c>
      <c r="D914" s="9" t="s">
        <v>836</v>
      </c>
      <c r="E914" s="34">
        <v>21</v>
      </c>
      <c r="F914" s="35">
        <f>IFERROR(LOOKUP(E914,CODIGOS!A:A,CODIGOS!B:B)," ")</f>
        <v>0</v>
      </c>
      <c r="G914" s="9"/>
      <c r="H914" s="36">
        <v>5</v>
      </c>
      <c r="I914" s="34"/>
      <c r="J914" s="38"/>
    </row>
    <row r="915" spans="1:10" ht="15">
      <c r="A915" s="32">
        <f t="shared" si="5"/>
        <v>914</v>
      </c>
      <c r="B915" s="33">
        <v>45230</v>
      </c>
      <c r="C915" s="46">
        <v>2794</v>
      </c>
      <c r="D915" s="47" t="s">
        <v>618</v>
      </c>
      <c r="E915" s="34">
        <v>21</v>
      </c>
      <c r="F915" s="35">
        <f>IFERROR(LOOKUP(E915,CODIGOS!A:A,CODIGOS!B:B)," ")</f>
        <v>0</v>
      </c>
      <c r="G915" s="9"/>
      <c r="H915" s="36">
        <v>0</v>
      </c>
      <c r="I915" s="34"/>
      <c r="J915" s="38"/>
    </row>
    <row r="916" spans="1:10" ht="15">
      <c r="A916" s="32">
        <f t="shared" si="5"/>
        <v>915</v>
      </c>
      <c r="B916" s="33">
        <v>45230</v>
      </c>
      <c r="C916" s="49" t="s">
        <v>837</v>
      </c>
      <c r="D916" s="47" t="s">
        <v>838</v>
      </c>
      <c r="E916" s="34">
        <v>21</v>
      </c>
      <c r="F916" s="35">
        <f>IFERROR(LOOKUP(E916,CODIGOS!A:A,CODIGOS!B:B)," ")</f>
        <v>0</v>
      </c>
      <c r="G916" s="9"/>
      <c r="H916" s="36">
        <v>10</v>
      </c>
      <c r="I916" s="34"/>
      <c r="J916" s="38"/>
    </row>
    <row r="917" spans="1:10" ht="15">
      <c r="A917" s="32">
        <f t="shared" si="5"/>
        <v>916</v>
      </c>
      <c r="B917" s="33">
        <v>45230</v>
      </c>
      <c r="C917" s="49">
        <v>2339</v>
      </c>
      <c r="D917" s="47" t="s">
        <v>839</v>
      </c>
      <c r="E917" s="34">
        <v>55</v>
      </c>
      <c r="F917" s="35">
        <f>IFERROR(LOOKUP(E917,CODIGOS!A:A,CODIGOS!B:B)," ")</f>
        <v>0</v>
      </c>
      <c r="G917" s="9"/>
      <c r="H917" s="36">
        <v>25</v>
      </c>
      <c r="I917" s="34"/>
      <c r="J917" s="38"/>
    </row>
    <row r="918" spans="1:10" ht="15">
      <c r="A918" s="32">
        <f t="shared" si="5"/>
        <v>917</v>
      </c>
      <c r="B918" s="33">
        <v>45230</v>
      </c>
      <c r="C918" s="49">
        <v>2864</v>
      </c>
      <c r="D918" s="47" t="s">
        <v>840</v>
      </c>
      <c r="E918" s="34">
        <v>23</v>
      </c>
      <c r="F918" s="35">
        <f>IFERROR(LOOKUP(E918,CODIGOS!A:A,CODIGOS!B:B)," ")</f>
        <v>0</v>
      </c>
      <c r="G918" s="9"/>
      <c r="H918" s="36">
        <v>25</v>
      </c>
      <c r="I918" s="34" t="s">
        <v>11</v>
      </c>
      <c r="J918" s="38"/>
    </row>
    <row r="919" spans="1:10" ht="15">
      <c r="A919" s="32">
        <f t="shared" si="5"/>
        <v>918</v>
      </c>
      <c r="B919" s="33">
        <v>45230</v>
      </c>
      <c r="C919" s="49">
        <v>2662</v>
      </c>
      <c r="D919" s="47" t="s">
        <v>841</v>
      </c>
      <c r="E919" s="34">
        <v>55</v>
      </c>
      <c r="F919" s="35">
        <f>IFERROR(LOOKUP(E919,CODIGOS!A:A,CODIGOS!B:B)," ")</f>
        <v>0</v>
      </c>
      <c r="G919" s="9"/>
      <c r="H919" s="36">
        <v>25</v>
      </c>
      <c r="I919" s="34" t="s">
        <v>11</v>
      </c>
      <c r="J919" s="38"/>
    </row>
    <row r="920" spans="1:10" ht="15">
      <c r="A920" s="32">
        <f t="shared" si="5"/>
        <v>919</v>
      </c>
      <c r="B920" s="33">
        <v>45230</v>
      </c>
      <c r="C920" s="51">
        <v>2865</v>
      </c>
      <c r="D920" s="47" t="s">
        <v>842</v>
      </c>
      <c r="E920" s="34">
        <v>23</v>
      </c>
      <c r="F920" s="35">
        <f>IFERROR(LOOKUP(E920,CODIGOS!A:A,CODIGOS!B:B)," ")</f>
        <v>0</v>
      </c>
      <c r="G920" s="9"/>
      <c r="H920" s="36">
        <v>25</v>
      </c>
      <c r="I920" s="34" t="s">
        <v>11</v>
      </c>
      <c r="J920" s="38"/>
    </row>
    <row r="921" spans="1:10">
      <c r="A921" s="32">
        <f t="shared" si="5"/>
        <v>920</v>
      </c>
      <c r="B921" s="33">
        <v>45236</v>
      </c>
      <c r="C921" s="9">
        <v>1683</v>
      </c>
      <c r="D921" s="9" t="s">
        <v>550</v>
      </c>
      <c r="E921" s="34">
        <v>24</v>
      </c>
      <c r="F921" s="35">
        <f>IFERROR(LOOKUP(E921,CODIGOS!A:A,CODIGOS!B:B)," ")</f>
        <v>0</v>
      </c>
      <c r="G921" s="9"/>
      <c r="H921" s="36">
        <v>16</v>
      </c>
      <c r="I921" s="34"/>
      <c r="J921" s="38"/>
    </row>
    <row r="922" spans="1:10">
      <c r="A922" s="32">
        <f t="shared" si="5"/>
        <v>921</v>
      </c>
      <c r="B922" s="33">
        <v>45236</v>
      </c>
      <c r="C922" s="9">
        <v>2836</v>
      </c>
      <c r="D922" s="9" t="s">
        <v>843</v>
      </c>
      <c r="E922" s="34">
        <v>24</v>
      </c>
      <c r="F922" s="35">
        <f>IFERROR(LOOKUP(E922,CODIGOS!A:A,CODIGOS!B:B)," ")</f>
        <v>0</v>
      </c>
      <c r="G922" s="9"/>
      <c r="H922" s="36">
        <v>16</v>
      </c>
      <c r="I922" s="34"/>
      <c r="J922" s="38"/>
    </row>
    <row r="923" spans="1:10">
      <c r="A923" s="32">
        <f t="shared" si="5"/>
        <v>922</v>
      </c>
      <c r="B923" s="33">
        <v>45236</v>
      </c>
      <c r="C923" s="9" t="s">
        <v>844</v>
      </c>
      <c r="D923" s="9" t="s">
        <v>845</v>
      </c>
      <c r="E923" s="34">
        <v>24</v>
      </c>
      <c r="F923" s="35">
        <f>IFERROR(LOOKUP(E923,CODIGOS!A:A,CODIGOS!B:B)," ")</f>
        <v>0</v>
      </c>
      <c r="G923" s="9"/>
      <c r="H923" s="36">
        <v>16</v>
      </c>
      <c r="I923" s="34"/>
      <c r="J923" s="38"/>
    </row>
    <row r="924" spans="1:10">
      <c r="A924" s="32">
        <f t="shared" si="5"/>
        <v>923</v>
      </c>
      <c r="B924" s="33">
        <v>45236</v>
      </c>
      <c r="C924" s="9">
        <v>2199</v>
      </c>
      <c r="D924" s="9" t="s">
        <v>846</v>
      </c>
      <c r="E924" s="34">
        <v>24</v>
      </c>
      <c r="F924" s="35">
        <f>IFERROR(LOOKUP(E924,CODIGOS!A:A,CODIGOS!B:B)," ")</f>
        <v>0</v>
      </c>
      <c r="G924" s="9"/>
      <c r="H924" s="36">
        <v>16</v>
      </c>
      <c r="I924" s="34"/>
      <c r="J924" s="38"/>
    </row>
    <row r="925" spans="1:10">
      <c r="A925" s="32">
        <f t="shared" si="5"/>
        <v>924</v>
      </c>
      <c r="B925" s="33">
        <v>45236</v>
      </c>
      <c r="C925" s="9">
        <v>2645</v>
      </c>
      <c r="D925" s="9" t="s">
        <v>847</v>
      </c>
      <c r="E925" s="34">
        <v>24</v>
      </c>
      <c r="F925" s="35">
        <f>IFERROR(LOOKUP(E925,CODIGOS!A:A,CODIGOS!B:B)," ")</f>
        <v>0</v>
      </c>
      <c r="G925" s="9"/>
      <c r="H925" s="36">
        <v>16</v>
      </c>
      <c r="I925" s="34"/>
      <c r="J925" s="38"/>
    </row>
    <row r="926" spans="1:10">
      <c r="A926" s="32">
        <f t="shared" si="5"/>
        <v>925</v>
      </c>
      <c r="B926" s="33">
        <v>45236</v>
      </c>
      <c r="C926" s="9">
        <v>2866</v>
      </c>
      <c r="D926" s="9" t="s">
        <v>848</v>
      </c>
      <c r="E926" s="34">
        <v>24</v>
      </c>
      <c r="F926" s="35">
        <f>IFERROR(LOOKUP(E926,CODIGOS!A:A,CODIGOS!B:B)," ")</f>
        <v>0</v>
      </c>
      <c r="G926" s="9"/>
      <c r="H926" s="36">
        <v>16</v>
      </c>
      <c r="I926" s="34"/>
      <c r="J926" s="38"/>
    </row>
    <row r="927" spans="1:10">
      <c r="A927" s="32">
        <f t="shared" si="5"/>
        <v>926</v>
      </c>
      <c r="B927" s="33">
        <v>45236</v>
      </c>
      <c r="C927" s="9">
        <v>2612</v>
      </c>
      <c r="D927" s="9" t="s">
        <v>660</v>
      </c>
      <c r="E927" s="34">
        <v>24</v>
      </c>
      <c r="F927" s="35">
        <f>IFERROR(LOOKUP(E927,CODIGOS!A:A,CODIGOS!B:B)," ")</f>
        <v>0</v>
      </c>
      <c r="G927" s="9"/>
      <c r="H927" s="36">
        <v>16</v>
      </c>
      <c r="I927" s="34"/>
      <c r="J927" s="38"/>
    </row>
    <row r="928" spans="1:10">
      <c r="A928" s="32">
        <f t="shared" si="5"/>
        <v>927</v>
      </c>
      <c r="B928" s="33">
        <v>45236</v>
      </c>
      <c r="C928" s="9">
        <v>2833</v>
      </c>
      <c r="D928" s="9" t="s">
        <v>747</v>
      </c>
      <c r="E928" s="34">
        <v>24</v>
      </c>
      <c r="F928" s="35">
        <f>IFERROR(LOOKUP(E928,CODIGOS!A:A,CODIGOS!B:B)," ")</f>
        <v>0</v>
      </c>
      <c r="G928" s="9"/>
      <c r="H928" s="36">
        <v>16</v>
      </c>
      <c r="I928" s="34"/>
      <c r="J928" s="38"/>
    </row>
    <row r="929" spans="1:10">
      <c r="A929" s="32">
        <f t="shared" si="5"/>
        <v>928</v>
      </c>
      <c r="B929" s="33">
        <v>45236</v>
      </c>
      <c r="C929" s="9">
        <v>738</v>
      </c>
      <c r="D929" s="9" t="s">
        <v>849</v>
      </c>
      <c r="E929" s="34">
        <v>24</v>
      </c>
      <c r="F929" s="35">
        <f>IFERROR(LOOKUP(E929,CODIGOS!A:A,CODIGOS!B:B)," ")</f>
        <v>0</v>
      </c>
      <c r="G929" s="9"/>
      <c r="H929" s="36">
        <v>16</v>
      </c>
      <c r="I929" s="34"/>
      <c r="J929" s="38"/>
    </row>
    <row r="930" spans="1:10">
      <c r="A930" s="32">
        <f t="shared" si="5"/>
        <v>929</v>
      </c>
      <c r="B930" s="33">
        <v>45236</v>
      </c>
      <c r="C930" s="9">
        <v>1913</v>
      </c>
      <c r="D930" s="9" t="s">
        <v>850</v>
      </c>
      <c r="E930" s="34">
        <v>24</v>
      </c>
      <c r="F930" s="35">
        <f>IFERROR(LOOKUP(E930,CODIGOS!A:A,CODIGOS!B:B)," ")</f>
        <v>0</v>
      </c>
      <c r="G930" s="9"/>
      <c r="H930" s="36">
        <v>16</v>
      </c>
      <c r="I930" s="34"/>
      <c r="J930" s="38"/>
    </row>
    <row r="931" spans="1:10">
      <c r="A931" s="32">
        <f t="shared" si="5"/>
        <v>930</v>
      </c>
      <c r="B931" s="33">
        <v>45236</v>
      </c>
      <c r="C931" s="9">
        <v>2453</v>
      </c>
      <c r="D931" s="9" t="s">
        <v>457</v>
      </c>
      <c r="E931" s="34">
        <v>24</v>
      </c>
      <c r="F931" s="35">
        <f>IFERROR(LOOKUP(E931,CODIGOS!A:A,CODIGOS!B:B)," ")</f>
        <v>0</v>
      </c>
      <c r="G931" s="9"/>
      <c r="H931" s="36">
        <v>16</v>
      </c>
      <c r="I931" s="34"/>
      <c r="J931" s="38"/>
    </row>
    <row r="932" spans="1:10">
      <c r="A932" s="32">
        <f t="shared" si="5"/>
        <v>931</v>
      </c>
      <c r="B932" s="33">
        <v>45236</v>
      </c>
      <c r="C932" s="9">
        <v>2834</v>
      </c>
      <c r="D932" s="9" t="s">
        <v>851</v>
      </c>
      <c r="E932" s="34">
        <v>24</v>
      </c>
      <c r="F932" s="35">
        <f>IFERROR(LOOKUP(E932,CODIGOS!A:A,CODIGOS!B:B)," ")</f>
        <v>0</v>
      </c>
      <c r="G932" s="9"/>
      <c r="H932" s="36">
        <v>16</v>
      </c>
      <c r="I932" s="34"/>
      <c r="J932" s="38"/>
    </row>
    <row r="933" spans="1:10">
      <c r="A933" s="32">
        <f t="shared" si="5"/>
        <v>932</v>
      </c>
      <c r="B933" s="33">
        <v>45236</v>
      </c>
      <c r="C933" s="9">
        <v>2870</v>
      </c>
      <c r="D933" s="9" t="s">
        <v>852</v>
      </c>
      <c r="E933" s="34">
        <v>24</v>
      </c>
      <c r="F933" s="35">
        <f>IFERROR(LOOKUP(E933,CODIGOS!A:A,CODIGOS!B:B)," ")</f>
        <v>0</v>
      </c>
      <c r="G933" s="9"/>
      <c r="H933" s="36">
        <v>16</v>
      </c>
      <c r="I933" s="34"/>
      <c r="J933" s="38"/>
    </row>
    <row r="934" spans="1:10">
      <c r="A934" s="32">
        <f t="shared" si="5"/>
        <v>933</v>
      </c>
      <c r="B934" s="33">
        <v>45236</v>
      </c>
      <c r="C934" s="9" t="s">
        <v>853</v>
      </c>
      <c r="D934" s="9" t="s">
        <v>854</v>
      </c>
      <c r="E934" s="34">
        <v>24</v>
      </c>
      <c r="F934" s="35">
        <f>IFERROR(LOOKUP(E934,CODIGOS!A:A,CODIGOS!B:B)," ")</f>
        <v>0</v>
      </c>
      <c r="G934" s="9"/>
      <c r="H934" s="36">
        <v>16</v>
      </c>
      <c r="I934" s="34"/>
      <c r="J934" s="38"/>
    </row>
    <row r="935" spans="1:10">
      <c r="A935" s="32">
        <f t="shared" si="5"/>
        <v>934</v>
      </c>
      <c r="B935" s="33">
        <v>45236</v>
      </c>
      <c r="C935" s="9">
        <v>2866</v>
      </c>
      <c r="D935" s="9" t="s">
        <v>848</v>
      </c>
      <c r="E935" s="34">
        <v>23</v>
      </c>
      <c r="F935" s="35">
        <f>IFERROR(LOOKUP(E935,CODIGOS!A:A,CODIGOS!B:B)," ")</f>
        <v>0</v>
      </c>
      <c r="G935" s="9"/>
      <c r="H935" s="36">
        <v>25</v>
      </c>
      <c r="I935" s="34" t="s">
        <v>11</v>
      </c>
      <c r="J935" s="38"/>
    </row>
    <row r="936" spans="1:10">
      <c r="A936" s="32">
        <f t="shared" si="5"/>
        <v>935</v>
      </c>
      <c r="B936" s="33">
        <v>45236</v>
      </c>
      <c r="C936" s="9">
        <v>2870</v>
      </c>
      <c r="D936" s="9" t="s">
        <v>852</v>
      </c>
      <c r="E936" s="34">
        <v>23</v>
      </c>
      <c r="F936" s="35">
        <f>IFERROR(LOOKUP(E936,CODIGOS!A:A,CODIGOS!B:B)," ")</f>
        <v>0</v>
      </c>
      <c r="G936" s="9"/>
      <c r="H936" s="36">
        <v>25</v>
      </c>
      <c r="I936" s="34" t="s">
        <v>20</v>
      </c>
      <c r="J936" s="38"/>
    </row>
    <row r="937" spans="1:10">
      <c r="A937" s="32">
        <f t="shared" si="5"/>
        <v>936</v>
      </c>
      <c r="B937" s="33">
        <v>45236</v>
      </c>
      <c r="C937" s="9">
        <v>2867</v>
      </c>
      <c r="D937" s="9" t="s">
        <v>855</v>
      </c>
      <c r="E937" s="34">
        <v>23</v>
      </c>
      <c r="F937" s="35">
        <f>IFERROR(LOOKUP(E937,CODIGOS!A:A,CODIGOS!B:B)," ")</f>
        <v>0</v>
      </c>
      <c r="G937" s="9"/>
      <c r="H937" s="36">
        <v>25</v>
      </c>
      <c r="I937" s="34" t="s">
        <v>11</v>
      </c>
      <c r="J937" s="38"/>
    </row>
    <row r="938" spans="1:10">
      <c r="A938" s="32">
        <f t="shared" si="5"/>
        <v>937</v>
      </c>
      <c r="B938" s="33">
        <v>45236</v>
      </c>
      <c r="C938" s="9">
        <v>2869</v>
      </c>
      <c r="D938" s="9" t="s">
        <v>856</v>
      </c>
      <c r="E938" s="34">
        <v>23</v>
      </c>
      <c r="F938" s="35">
        <f>IFERROR(LOOKUP(E938,CODIGOS!A:A,CODIGOS!B:B)," ")</f>
        <v>0</v>
      </c>
      <c r="G938" s="9"/>
      <c r="H938" s="36">
        <v>25</v>
      </c>
      <c r="I938" s="34" t="s">
        <v>11</v>
      </c>
      <c r="J938" s="38"/>
    </row>
    <row r="939" spans="1:10">
      <c r="A939" s="32">
        <f t="shared" si="5"/>
        <v>938</v>
      </c>
      <c r="B939" s="33">
        <v>45236</v>
      </c>
      <c r="C939" s="9">
        <v>2868</v>
      </c>
      <c r="D939" s="9" t="s">
        <v>857</v>
      </c>
      <c r="E939" s="34">
        <v>23</v>
      </c>
      <c r="F939" s="35">
        <f>IFERROR(LOOKUP(E939,CODIGOS!A:A,CODIGOS!B:B)," ")</f>
        <v>0</v>
      </c>
      <c r="G939" s="9"/>
      <c r="H939" s="36">
        <v>25</v>
      </c>
      <c r="I939" s="34" t="s">
        <v>11</v>
      </c>
      <c r="J939" s="38"/>
    </row>
    <row r="940" spans="1:10">
      <c r="A940" s="32">
        <f t="shared" si="5"/>
        <v>939</v>
      </c>
      <c r="B940" s="33">
        <v>45236</v>
      </c>
      <c r="C940" s="9" t="s">
        <v>858</v>
      </c>
      <c r="D940" s="9" t="s">
        <v>859</v>
      </c>
      <c r="E940" s="34">
        <v>24</v>
      </c>
      <c r="F940" s="35">
        <f>IFERROR(LOOKUP(E940,CODIGOS!A:A,CODIGOS!B:B)," ")</f>
        <v>0</v>
      </c>
      <c r="G940" s="9"/>
      <c r="H940" s="36">
        <v>20</v>
      </c>
      <c r="I940" s="34"/>
      <c r="J940" s="38"/>
    </row>
    <row r="941" spans="1:10">
      <c r="A941" s="32">
        <f t="shared" si="5"/>
        <v>940</v>
      </c>
      <c r="B941" s="33">
        <v>45236</v>
      </c>
      <c r="C941" s="9" t="s">
        <v>858</v>
      </c>
      <c r="D941" s="9" t="s">
        <v>860</v>
      </c>
      <c r="E941" s="34">
        <v>24</v>
      </c>
      <c r="F941" s="35">
        <f>IFERROR(LOOKUP(E941,CODIGOS!A:A,CODIGOS!B:B)," ")</f>
        <v>0</v>
      </c>
      <c r="G941" s="9"/>
      <c r="H941" s="36">
        <v>20</v>
      </c>
      <c r="I941" s="34"/>
      <c r="J941" s="38"/>
    </row>
    <row r="942" spans="1:10">
      <c r="A942" s="32">
        <f t="shared" si="5"/>
        <v>941</v>
      </c>
      <c r="B942" s="33">
        <v>45236</v>
      </c>
      <c r="C942" s="9">
        <v>2692</v>
      </c>
      <c r="D942" s="9" t="s">
        <v>861</v>
      </c>
      <c r="E942" s="34">
        <v>24</v>
      </c>
      <c r="F942" s="35">
        <f>IFERROR(LOOKUP(E942,CODIGOS!A:A,CODIGOS!B:B)," ")</f>
        <v>0</v>
      </c>
      <c r="G942" s="9"/>
      <c r="H942" s="36">
        <v>16</v>
      </c>
      <c r="I942" s="34"/>
      <c r="J942" s="38"/>
    </row>
    <row r="943" spans="1:10">
      <c r="A943" s="32">
        <f t="shared" si="5"/>
        <v>942</v>
      </c>
      <c r="B943" s="33">
        <v>45236</v>
      </c>
      <c r="C943" s="9">
        <v>2802</v>
      </c>
      <c r="D943" s="9" t="s">
        <v>862</v>
      </c>
      <c r="E943" s="34">
        <v>24</v>
      </c>
      <c r="F943" s="35">
        <f>IFERROR(LOOKUP(E943,CODIGOS!A:A,CODIGOS!B:B)," ")</f>
        <v>0</v>
      </c>
      <c r="G943" s="9"/>
      <c r="H943" s="36">
        <v>16</v>
      </c>
      <c r="I943" s="34"/>
      <c r="J943" s="38"/>
    </row>
    <row r="944" spans="1:10">
      <c r="A944" s="32">
        <f t="shared" si="5"/>
        <v>943</v>
      </c>
      <c r="B944" s="33">
        <v>45236</v>
      </c>
      <c r="C944" s="9">
        <v>2489</v>
      </c>
      <c r="D944" s="9" t="s">
        <v>863</v>
      </c>
      <c r="E944" s="34">
        <v>24</v>
      </c>
      <c r="F944" s="35">
        <f>IFERROR(LOOKUP(E944,CODIGOS!A:A,CODIGOS!B:B)," ")</f>
        <v>0</v>
      </c>
      <c r="G944" s="9"/>
      <c r="H944" s="36">
        <v>16</v>
      </c>
      <c r="I944" s="34"/>
      <c r="J944" s="38"/>
    </row>
    <row r="945" spans="1:10">
      <c r="A945" s="32">
        <f t="shared" si="5"/>
        <v>944</v>
      </c>
      <c r="B945" s="33">
        <v>45236</v>
      </c>
      <c r="C945" s="9">
        <v>2665</v>
      </c>
      <c r="D945" s="9" t="s">
        <v>864</v>
      </c>
      <c r="E945" s="34">
        <v>55</v>
      </c>
      <c r="F945" s="35">
        <f>IFERROR(LOOKUP(E945,CODIGOS!A:A,CODIGOS!B:B)," ")</f>
        <v>0</v>
      </c>
      <c r="G945" s="9"/>
      <c r="H945" s="36">
        <v>25</v>
      </c>
      <c r="I945" s="34" t="s">
        <v>11</v>
      </c>
      <c r="J945" s="38"/>
    </row>
    <row r="946" spans="1:10">
      <c r="A946" s="32">
        <f t="shared" si="5"/>
        <v>945</v>
      </c>
      <c r="B946" s="33">
        <v>45236</v>
      </c>
      <c r="C946" s="9">
        <v>2711</v>
      </c>
      <c r="D946" s="9" t="s">
        <v>865</v>
      </c>
      <c r="E946" s="34">
        <v>55</v>
      </c>
      <c r="F946" s="35">
        <f>IFERROR(LOOKUP(E946,CODIGOS!A:A,CODIGOS!B:B)," ")</f>
        <v>0</v>
      </c>
      <c r="G946" s="9"/>
      <c r="H946" s="36">
        <v>25</v>
      </c>
      <c r="I946" s="34" t="s">
        <v>20</v>
      </c>
      <c r="J946" s="38"/>
    </row>
    <row r="947" spans="1:10">
      <c r="A947" s="32">
        <f t="shared" si="5"/>
        <v>946</v>
      </c>
      <c r="B947" s="33">
        <v>45236</v>
      </c>
      <c r="C947" s="9">
        <v>2871</v>
      </c>
      <c r="D947" s="9" t="s">
        <v>866</v>
      </c>
      <c r="E947" s="34">
        <v>23</v>
      </c>
      <c r="F947" s="35">
        <f>IFERROR(LOOKUP(E947,CODIGOS!A:A,CODIGOS!B:B)," ")</f>
        <v>0</v>
      </c>
      <c r="G947" s="9"/>
      <c r="H947" s="36">
        <v>25</v>
      </c>
      <c r="I947" s="34" t="s">
        <v>11</v>
      </c>
      <c r="J947" s="38"/>
    </row>
    <row r="948" spans="1:10">
      <c r="A948" s="32">
        <f t="shared" si="5"/>
        <v>947</v>
      </c>
      <c r="B948" s="33">
        <v>45236</v>
      </c>
      <c r="C948" s="9" t="s">
        <v>867</v>
      </c>
      <c r="D948" s="9" t="s">
        <v>868</v>
      </c>
      <c r="E948" s="34">
        <v>24</v>
      </c>
      <c r="F948" s="35">
        <f>IFERROR(LOOKUP(E948,CODIGOS!A:A,CODIGOS!B:B)," ")</f>
        <v>0</v>
      </c>
      <c r="G948" s="9"/>
      <c r="H948" s="36">
        <v>20</v>
      </c>
      <c r="I948" s="34"/>
      <c r="J948" s="38"/>
    </row>
    <row r="949" spans="1:10">
      <c r="A949" s="32">
        <f t="shared" si="5"/>
        <v>948</v>
      </c>
      <c r="B949" s="33">
        <v>45237</v>
      </c>
      <c r="C949" s="9">
        <v>2744</v>
      </c>
      <c r="D949" s="9" t="s">
        <v>869</v>
      </c>
      <c r="E949" s="34">
        <v>24</v>
      </c>
      <c r="F949" s="35">
        <f>IFERROR(LOOKUP(E949,CODIGOS!A:A,CODIGOS!B:B)," ")</f>
        <v>0</v>
      </c>
      <c r="G949" s="9"/>
      <c r="H949" s="36">
        <v>16</v>
      </c>
      <c r="I949" s="34"/>
      <c r="J949" s="38"/>
    </row>
    <row r="950" spans="1:10">
      <c r="A950" s="32">
        <f t="shared" si="5"/>
        <v>949</v>
      </c>
      <c r="B950" s="33">
        <v>45237</v>
      </c>
      <c r="C950" s="9">
        <v>2745</v>
      </c>
      <c r="D950" s="9" t="s">
        <v>870</v>
      </c>
      <c r="E950" s="34">
        <v>24</v>
      </c>
      <c r="F950" s="35">
        <f>IFERROR(LOOKUP(E950,CODIGOS!A:A,CODIGOS!B:B)," ")</f>
        <v>0</v>
      </c>
      <c r="G950" s="9"/>
      <c r="H950" s="36">
        <v>16</v>
      </c>
      <c r="I950" s="34"/>
      <c r="J950" s="38"/>
    </row>
    <row r="951" spans="1:10">
      <c r="A951" s="32">
        <f t="shared" si="5"/>
        <v>950</v>
      </c>
      <c r="B951" s="33">
        <v>45237</v>
      </c>
      <c r="C951" s="9">
        <v>2872</v>
      </c>
      <c r="D951" s="9" t="s">
        <v>871</v>
      </c>
      <c r="E951" s="34">
        <v>23</v>
      </c>
      <c r="F951" s="35">
        <f>IFERROR(LOOKUP(E951,CODIGOS!A:A,CODIGOS!B:B)," ")</f>
        <v>0</v>
      </c>
      <c r="G951" s="9"/>
      <c r="H951" s="36">
        <v>25</v>
      </c>
      <c r="I951" s="34" t="s">
        <v>11</v>
      </c>
      <c r="J951" s="38"/>
    </row>
    <row r="952" spans="1:10">
      <c r="A952" s="32">
        <f t="shared" si="5"/>
        <v>951</v>
      </c>
      <c r="B952" s="33">
        <v>45237</v>
      </c>
      <c r="C952" s="9">
        <v>2317</v>
      </c>
      <c r="D952" s="9" t="s">
        <v>872</v>
      </c>
      <c r="E952" s="34">
        <v>24</v>
      </c>
      <c r="F952" s="35">
        <f>IFERROR(LOOKUP(E952,CODIGOS!A:A,CODIGOS!B:B)," ")</f>
        <v>0</v>
      </c>
      <c r="G952" s="9"/>
      <c r="H952" s="36">
        <v>16</v>
      </c>
      <c r="I952" s="34"/>
      <c r="J952" s="38"/>
    </row>
    <row r="953" spans="1:10">
      <c r="A953" s="32">
        <f t="shared" si="5"/>
        <v>952</v>
      </c>
      <c r="B953" s="33">
        <v>45237</v>
      </c>
      <c r="C953" s="9">
        <v>2318</v>
      </c>
      <c r="D953" s="9" t="s">
        <v>405</v>
      </c>
      <c r="E953" s="34">
        <v>24</v>
      </c>
      <c r="F953" s="35">
        <f>IFERROR(LOOKUP(E953,CODIGOS!A:A,CODIGOS!B:B)," ")</f>
        <v>0</v>
      </c>
      <c r="G953" s="9"/>
      <c r="H953" s="36">
        <v>16</v>
      </c>
      <c r="I953" s="34"/>
      <c r="J953" s="38"/>
    </row>
    <row r="954" spans="1:10">
      <c r="A954" s="32">
        <f t="shared" si="5"/>
        <v>953</v>
      </c>
      <c r="B954" s="33">
        <v>45237</v>
      </c>
      <c r="C954" s="9">
        <v>2553</v>
      </c>
      <c r="D954" s="9" t="s">
        <v>201</v>
      </c>
      <c r="E954" s="34">
        <v>24</v>
      </c>
      <c r="F954" s="35">
        <f>IFERROR(LOOKUP(E954,CODIGOS!A:A,CODIGOS!B:B)," ")</f>
        <v>0</v>
      </c>
      <c r="G954" s="9"/>
      <c r="H954" s="36">
        <v>16</v>
      </c>
      <c r="I954" s="34"/>
      <c r="J954" s="38"/>
    </row>
    <row r="955" spans="1:10">
      <c r="A955" s="32">
        <f t="shared" si="5"/>
        <v>954</v>
      </c>
      <c r="B955" s="33">
        <v>45237</v>
      </c>
      <c r="C955" s="9">
        <v>2054</v>
      </c>
      <c r="D955" s="9" t="s">
        <v>873</v>
      </c>
      <c r="E955" s="34">
        <v>55</v>
      </c>
      <c r="F955" s="35">
        <f>IFERROR(LOOKUP(E955,CODIGOS!A:A,CODIGOS!B:B)," ")</f>
        <v>0</v>
      </c>
      <c r="G955" s="9"/>
      <c r="H955" s="36">
        <v>25</v>
      </c>
      <c r="I955" s="34" t="s">
        <v>20</v>
      </c>
      <c r="J955" s="38"/>
    </row>
    <row r="956" spans="1:10">
      <c r="A956" s="32">
        <f t="shared" si="5"/>
        <v>955</v>
      </c>
      <c r="B956" s="33">
        <v>45237</v>
      </c>
      <c r="C956" s="9">
        <v>2712</v>
      </c>
      <c r="D956" s="9" t="s">
        <v>874</v>
      </c>
      <c r="E956" s="34">
        <v>55</v>
      </c>
      <c r="F956" s="35">
        <f>IFERROR(LOOKUP(E956,CODIGOS!A:A,CODIGOS!B:B)," ")</f>
        <v>0</v>
      </c>
      <c r="G956" s="9"/>
      <c r="H956" s="36">
        <v>25</v>
      </c>
      <c r="I956" s="34" t="s">
        <v>20</v>
      </c>
      <c r="J956" s="38"/>
    </row>
    <row r="957" spans="1:10">
      <c r="A957" s="32">
        <f t="shared" si="5"/>
        <v>956</v>
      </c>
      <c r="B957" s="33">
        <v>45237</v>
      </c>
      <c r="C957" s="9">
        <v>2873</v>
      </c>
      <c r="D957" s="9" t="s">
        <v>875</v>
      </c>
      <c r="E957" s="34">
        <v>23</v>
      </c>
      <c r="F957" s="35">
        <f>IFERROR(LOOKUP(E957,CODIGOS!A:A,CODIGOS!B:B)," ")</f>
        <v>0</v>
      </c>
      <c r="G957" s="9"/>
      <c r="H957" s="36">
        <v>25</v>
      </c>
      <c r="I957" s="34" t="s">
        <v>11</v>
      </c>
      <c r="J957" s="38"/>
    </row>
    <row r="958" spans="1:10">
      <c r="A958" s="32">
        <f t="shared" si="5"/>
        <v>957</v>
      </c>
      <c r="B958" s="33">
        <v>45237</v>
      </c>
      <c r="C958" s="9">
        <v>2000</v>
      </c>
      <c r="D958" s="9" t="s">
        <v>428</v>
      </c>
      <c r="E958" s="34">
        <v>24</v>
      </c>
      <c r="F958" s="35">
        <f>IFERROR(LOOKUP(E958,CODIGOS!A:A,CODIGOS!B:B)," ")</f>
        <v>0</v>
      </c>
      <c r="G958" s="9"/>
      <c r="H958" s="36">
        <v>16</v>
      </c>
      <c r="I958" s="34"/>
      <c r="J958" s="38"/>
    </row>
    <row r="959" spans="1:10">
      <c r="A959" s="32">
        <f t="shared" si="5"/>
        <v>958</v>
      </c>
      <c r="B959" s="33">
        <v>45237</v>
      </c>
      <c r="C959" s="9">
        <v>2000</v>
      </c>
      <c r="D959" s="9" t="s">
        <v>428</v>
      </c>
      <c r="E959" s="34">
        <v>25</v>
      </c>
      <c r="F959" s="35">
        <f>IFERROR(LOOKUP(E959,CODIGOS!A:A,CODIGOS!B:B)," ")</f>
        <v>0</v>
      </c>
      <c r="G959" s="9"/>
      <c r="H959" s="36">
        <v>40</v>
      </c>
      <c r="I959" s="34"/>
      <c r="J959" s="38"/>
    </row>
    <row r="960" spans="1:10">
      <c r="A960" s="32">
        <f t="shared" si="5"/>
        <v>959</v>
      </c>
      <c r="B960" s="33">
        <v>45237</v>
      </c>
      <c r="C960" s="9" t="s">
        <v>280</v>
      </c>
      <c r="D960" s="9" t="s">
        <v>876</v>
      </c>
      <c r="E960" s="34">
        <v>25</v>
      </c>
      <c r="F960" s="35">
        <f>IFERROR(LOOKUP(E960,CODIGOS!A:A,CODIGOS!B:B)," ")</f>
        <v>0</v>
      </c>
      <c r="G960" s="9"/>
      <c r="H960" s="36">
        <v>50</v>
      </c>
      <c r="I960" s="34"/>
      <c r="J960" s="38"/>
    </row>
    <row r="961" spans="1:10">
      <c r="A961" s="32">
        <f t="shared" si="5"/>
        <v>960</v>
      </c>
      <c r="B961" s="33">
        <v>45237</v>
      </c>
      <c r="C961" s="9">
        <v>2369</v>
      </c>
      <c r="D961" s="9" t="s">
        <v>810</v>
      </c>
      <c r="E961" s="34">
        <v>25</v>
      </c>
      <c r="F961" s="35">
        <f>IFERROR(LOOKUP(E961,CODIGOS!A:A,CODIGOS!B:B)," ")</f>
        <v>0</v>
      </c>
      <c r="G961" s="9"/>
      <c r="H961" s="36">
        <v>40</v>
      </c>
      <c r="I961" s="34"/>
      <c r="J961" s="38"/>
    </row>
    <row r="962" spans="1:10">
      <c r="A962" s="32">
        <f t="shared" si="5"/>
        <v>961</v>
      </c>
      <c r="B962" s="33">
        <v>45238</v>
      </c>
      <c r="C962" s="9">
        <v>1944</v>
      </c>
      <c r="D962" s="9" t="s">
        <v>160</v>
      </c>
      <c r="E962" s="34">
        <v>24</v>
      </c>
      <c r="F962" s="35">
        <f>IFERROR(LOOKUP(E962,CODIGOS!A:A,CODIGOS!B:B)," ")</f>
        <v>0</v>
      </c>
      <c r="G962" s="9"/>
      <c r="H962" s="36">
        <v>16</v>
      </c>
      <c r="I962" s="34"/>
      <c r="J962" s="38"/>
    </row>
    <row r="963" spans="1:10">
      <c r="A963" s="32">
        <f t="shared" si="5"/>
        <v>962</v>
      </c>
      <c r="B963" s="33">
        <v>45238</v>
      </c>
      <c r="C963" s="9">
        <v>2770</v>
      </c>
      <c r="D963" s="9" t="s">
        <v>652</v>
      </c>
      <c r="E963" s="34">
        <v>24</v>
      </c>
      <c r="F963" s="35">
        <f>IFERROR(LOOKUP(E963,CODIGOS!A:A,CODIGOS!B:B)," ")</f>
        <v>0</v>
      </c>
      <c r="G963" s="9"/>
      <c r="H963" s="36">
        <v>16</v>
      </c>
      <c r="I963" s="34"/>
      <c r="J963" s="38"/>
    </row>
    <row r="964" spans="1:10">
      <c r="A964" s="32">
        <f t="shared" si="5"/>
        <v>963</v>
      </c>
      <c r="B964" s="33">
        <v>45238</v>
      </c>
      <c r="C964" s="9">
        <v>2875</v>
      </c>
      <c r="D964" s="9" t="s">
        <v>877</v>
      </c>
      <c r="E964" s="34">
        <v>23</v>
      </c>
      <c r="F964" s="35">
        <f>IFERROR(LOOKUP(E964,CODIGOS!A:A,CODIGOS!B:B)," ")</f>
        <v>0</v>
      </c>
      <c r="G964" s="9"/>
      <c r="H964" s="36">
        <v>25</v>
      </c>
      <c r="I964" s="34"/>
      <c r="J964" s="38"/>
    </row>
    <row r="965" spans="1:10">
      <c r="A965" s="32">
        <f t="shared" si="5"/>
        <v>964</v>
      </c>
      <c r="B965" s="33">
        <v>45238</v>
      </c>
      <c r="C965" s="9">
        <v>2797</v>
      </c>
      <c r="D965" s="9" t="s">
        <v>637</v>
      </c>
      <c r="E965" s="34">
        <v>25</v>
      </c>
      <c r="F965" s="35">
        <f>IFERROR(LOOKUP(E965,CODIGOS!A:A,CODIGOS!B:B)," ")</f>
        <v>0</v>
      </c>
      <c r="G965" s="9"/>
      <c r="H965" s="36">
        <v>40</v>
      </c>
      <c r="I965" s="34"/>
      <c r="J965" s="38"/>
    </row>
    <row r="966" spans="1:10">
      <c r="A966" s="32">
        <f t="shared" si="5"/>
        <v>965</v>
      </c>
      <c r="B966" s="33">
        <v>45238</v>
      </c>
      <c r="C966" s="9">
        <v>2742</v>
      </c>
      <c r="D966" s="9" t="s">
        <v>394</v>
      </c>
      <c r="E966" s="34">
        <v>25</v>
      </c>
      <c r="F966" s="35">
        <f>IFERROR(LOOKUP(E966,CODIGOS!A:A,CODIGOS!B:B)," ")</f>
        <v>0</v>
      </c>
      <c r="G966" s="9"/>
      <c r="H966" s="36">
        <v>40</v>
      </c>
      <c r="I966" s="34"/>
      <c r="J966" s="38"/>
    </row>
    <row r="967" spans="1:10">
      <c r="A967" s="32">
        <f t="shared" si="5"/>
        <v>966</v>
      </c>
      <c r="B967" s="33">
        <v>45238</v>
      </c>
      <c r="C967" s="9" t="s">
        <v>878</v>
      </c>
      <c r="D967" s="9" t="s">
        <v>879</v>
      </c>
      <c r="E967" s="34">
        <v>25</v>
      </c>
      <c r="F967" s="35">
        <f>IFERROR(LOOKUP(E967,CODIGOS!A:A,CODIGOS!B:B)," ")</f>
        <v>0</v>
      </c>
      <c r="G967" s="9"/>
      <c r="H967" s="36">
        <v>50</v>
      </c>
      <c r="I967" s="34"/>
      <c r="J967" s="38"/>
    </row>
    <row r="968" spans="1:10">
      <c r="A968" s="32">
        <f t="shared" si="5"/>
        <v>967</v>
      </c>
      <c r="B968" s="33">
        <v>45243</v>
      </c>
      <c r="C968" s="9">
        <v>2541</v>
      </c>
      <c r="D968" s="9" t="s">
        <v>555</v>
      </c>
      <c r="E968" s="34">
        <v>20</v>
      </c>
      <c r="F968" s="35" t="s">
        <v>1084</v>
      </c>
      <c r="G968" s="9"/>
      <c r="H968" s="36" t="s">
        <v>880</v>
      </c>
      <c r="I968" s="34"/>
      <c r="J968" s="38"/>
    </row>
    <row r="969" spans="1:10">
      <c r="A969" s="32">
        <f t="shared" si="5"/>
        <v>968</v>
      </c>
      <c r="B969" s="33">
        <v>45243</v>
      </c>
      <c r="C969" s="9">
        <v>2523</v>
      </c>
      <c r="D969" s="9" t="s">
        <v>881</v>
      </c>
      <c r="E969" s="34">
        <v>25</v>
      </c>
      <c r="F969" s="35" t="s">
        <v>1082</v>
      </c>
      <c r="G969" s="9"/>
      <c r="H969" s="36">
        <v>40</v>
      </c>
      <c r="I969" s="34"/>
      <c r="J969" s="38"/>
    </row>
    <row r="970" spans="1:10">
      <c r="A970" s="32">
        <f t="shared" si="5"/>
        <v>969</v>
      </c>
      <c r="B970" s="33">
        <v>45243</v>
      </c>
      <c r="C970" s="9">
        <v>2595</v>
      </c>
      <c r="D970" s="9" t="s">
        <v>882</v>
      </c>
      <c r="E970" s="34">
        <v>25</v>
      </c>
      <c r="F970" s="35" t="s">
        <v>1082</v>
      </c>
      <c r="G970" s="9"/>
      <c r="H970" s="36">
        <v>40</v>
      </c>
      <c r="I970" s="34"/>
      <c r="J970" s="38"/>
    </row>
    <row r="971" spans="1:10">
      <c r="A971" s="32">
        <f t="shared" si="5"/>
        <v>970</v>
      </c>
      <c r="B971" s="33">
        <v>45243</v>
      </c>
      <c r="C971" s="9">
        <v>2653</v>
      </c>
      <c r="D971" s="9" t="s">
        <v>883</v>
      </c>
      <c r="E971" s="34">
        <v>25</v>
      </c>
      <c r="F971" s="35" t="s">
        <v>1082</v>
      </c>
      <c r="G971" s="9"/>
      <c r="H971" s="36">
        <v>40</v>
      </c>
      <c r="I971" s="34"/>
      <c r="J971" s="38"/>
    </row>
    <row r="972" spans="1:10">
      <c r="A972" s="32">
        <f t="shared" si="5"/>
        <v>971</v>
      </c>
      <c r="B972" s="33">
        <v>45243</v>
      </c>
      <c r="C972" s="9" t="s">
        <v>108</v>
      </c>
      <c r="D972" s="9" t="s">
        <v>884</v>
      </c>
      <c r="E972" s="34">
        <v>24</v>
      </c>
      <c r="F972" s="35" t="s">
        <v>1083</v>
      </c>
      <c r="G972" s="9"/>
      <c r="H972" s="36">
        <v>16</v>
      </c>
      <c r="I972" s="34"/>
      <c r="J972" s="38"/>
    </row>
    <row r="973" spans="1:10">
      <c r="A973" s="32">
        <f t="shared" si="5"/>
        <v>972</v>
      </c>
      <c r="B973" s="33">
        <v>45243</v>
      </c>
      <c r="C973" s="9">
        <v>2707</v>
      </c>
      <c r="D973" s="9" t="s">
        <v>885</v>
      </c>
      <c r="E973" s="34">
        <v>24</v>
      </c>
      <c r="F973" s="35" t="s">
        <v>1083</v>
      </c>
      <c r="G973" s="9"/>
      <c r="H973" s="36">
        <v>16</v>
      </c>
      <c r="I973" s="34"/>
      <c r="J973" s="38"/>
    </row>
    <row r="974" spans="1:10">
      <c r="A974" s="32">
        <f t="shared" si="5"/>
        <v>973</v>
      </c>
      <c r="B974" s="33">
        <v>45243</v>
      </c>
      <c r="C974" s="9" t="s">
        <v>886</v>
      </c>
      <c r="D974" s="9" t="s">
        <v>887</v>
      </c>
      <c r="E974" s="34">
        <v>24</v>
      </c>
      <c r="F974" s="35" t="s">
        <v>1083</v>
      </c>
      <c r="G974" s="9"/>
      <c r="H974" s="36">
        <v>20</v>
      </c>
      <c r="I974" s="34"/>
      <c r="J974" s="38"/>
    </row>
    <row r="975" spans="1:10">
      <c r="A975" s="32">
        <f t="shared" ref="A975:A1000" si="6">IF(B975&lt;&gt;0,A974+1," ")</f>
        <v>974</v>
      </c>
      <c r="B975" s="33">
        <v>45243</v>
      </c>
      <c r="C975" s="9">
        <v>1856</v>
      </c>
      <c r="D975" s="9" t="s">
        <v>888</v>
      </c>
      <c r="E975" s="34">
        <v>25</v>
      </c>
      <c r="F975" s="35" t="s">
        <v>1082</v>
      </c>
      <c r="G975" s="9"/>
      <c r="H975" s="36">
        <v>40</v>
      </c>
      <c r="I975" s="34"/>
      <c r="J975" s="38"/>
    </row>
    <row r="976" spans="1:10">
      <c r="A976" s="32">
        <f t="shared" si="6"/>
        <v>975</v>
      </c>
      <c r="B976" s="33">
        <v>45243</v>
      </c>
      <c r="C976" s="9">
        <v>2876</v>
      </c>
      <c r="D976" s="9" t="s">
        <v>889</v>
      </c>
      <c r="E976" s="34">
        <v>23</v>
      </c>
      <c r="F976" s="35" t="s">
        <v>1085</v>
      </c>
      <c r="G976" s="9"/>
      <c r="H976" s="36">
        <v>25</v>
      </c>
      <c r="I976" s="34"/>
      <c r="J976" s="38"/>
    </row>
    <row r="977" spans="1:10">
      <c r="A977" s="32">
        <f t="shared" si="6"/>
        <v>976</v>
      </c>
      <c r="B977" s="33">
        <v>45243</v>
      </c>
      <c r="C977" s="9">
        <v>2642</v>
      </c>
      <c r="D977" s="9" t="s">
        <v>890</v>
      </c>
      <c r="E977" s="34">
        <v>25</v>
      </c>
      <c r="F977" s="35" t="s">
        <v>1082</v>
      </c>
      <c r="G977" s="9"/>
      <c r="H977" s="36">
        <v>40</v>
      </c>
      <c r="I977" s="34"/>
      <c r="J977" s="38"/>
    </row>
    <row r="978" spans="1:10">
      <c r="A978" s="32">
        <f t="shared" si="6"/>
        <v>977</v>
      </c>
      <c r="B978" s="33">
        <v>45243</v>
      </c>
      <c r="C978" s="9">
        <v>2877</v>
      </c>
      <c r="D978" s="9" t="s">
        <v>891</v>
      </c>
      <c r="E978" s="34">
        <v>55</v>
      </c>
      <c r="F978" s="35" t="s">
        <v>1040</v>
      </c>
      <c r="G978" s="9"/>
      <c r="H978" s="36">
        <v>25</v>
      </c>
      <c r="I978" s="34" t="s">
        <v>11</v>
      </c>
      <c r="J978" s="38"/>
    </row>
    <row r="979" spans="1:10">
      <c r="A979" s="32">
        <f t="shared" si="6"/>
        <v>978</v>
      </c>
      <c r="B979" s="33">
        <v>45243</v>
      </c>
      <c r="C979" s="9">
        <v>2877</v>
      </c>
      <c r="D979" s="9" t="s">
        <v>891</v>
      </c>
      <c r="E979" s="34">
        <v>25</v>
      </c>
      <c r="F979" s="35" t="s">
        <v>1082</v>
      </c>
      <c r="G979" s="9"/>
      <c r="H979" s="36">
        <v>40</v>
      </c>
      <c r="I979" s="34"/>
      <c r="J979" s="38"/>
    </row>
    <row r="980" spans="1:10">
      <c r="A980" s="32">
        <f t="shared" si="6"/>
        <v>979</v>
      </c>
      <c r="B980" s="33">
        <v>45243</v>
      </c>
      <c r="C980" s="9">
        <v>2614</v>
      </c>
      <c r="D980" s="9" t="s">
        <v>892</v>
      </c>
      <c r="E980" s="34">
        <v>25</v>
      </c>
      <c r="F980" s="35" t="s">
        <v>1082</v>
      </c>
      <c r="G980" s="9"/>
      <c r="H980" s="36">
        <v>40</v>
      </c>
      <c r="I980" s="34"/>
      <c r="J980" s="38"/>
    </row>
    <row r="981" spans="1:10">
      <c r="A981" s="32">
        <f t="shared" si="6"/>
        <v>980</v>
      </c>
      <c r="B981" s="33">
        <v>45243</v>
      </c>
      <c r="C981" s="9">
        <v>2575</v>
      </c>
      <c r="D981" s="9" t="s">
        <v>893</v>
      </c>
      <c r="E981" s="34">
        <v>25</v>
      </c>
      <c r="F981" s="35" t="s">
        <v>1082</v>
      </c>
      <c r="G981" s="9"/>
      <c r="H981" s="36">
        <v>40</v>
      </c>
      <c r="I981" s="34"/>
      <c r="J981" s="38"/>
    </row>
    <row r="982" spans="1:10">
      <c r="A982" s="32">
        <f t="shared" si="6"/>
        <v>981</v>
      </c>
      <c r="B982" s="33">
        <v>45243</v>
      </c>
      <c r="C982" s="9" t="s">
        <v>894</v>
      </c>
      <c r="D982" s="9" t="s">
        <v>895</v>
      </c>
      <c r="E982" s="34">
        <v>25</v>
      </c>
      <c r="F982" s="35" t="s">
        <v>1082</v>
      </c>
      <c r="G982" s="9"/>
      <c r="H982" s="36">
        <v>50</v>
      </c>
      <c r="I982" s="34"/>
      <c r="J982" s="38"/>
    </row>
    <row r="983" spans="1:10">
      <c r="A983" s="32">
        <f t="shared" si="6"/>
        <v>982</v>
      </c>
      <c r="B983" s="33">
        <v>45243</v>
      </c>
      <c r="C983" s="9" t="s">
        <v>896</v>
      </c>
      <c r="D983" s="9" t="s">
        <v>897</v>
      </c>
      <c r="E983" s="34">
        <v>25</v>
      </c>
      <c r="F983" s="35" t="s">
        <v>1082</v>
      </c>
      <c r="G983" s="9"/>
      <c r="H983" s="36">
        <v>50</v>
      </c>
      <c r="I983" s="34"/>
      <c r="J983" s="38"/>
    </row>
    <row r="984" spans="1:10">
      <c r="A984" s="32">
        <f t="shared" si="6"/>
        <v>983</v>
      </c>
      <c r="B984" s="33">
        <v>45243</v>
      </c>
      <c r="C984" s="9">
        <v>2567</v>
      </c>
      <c r="D984" s="9" t="s">
        <v>898</v>
      </c>
      <c r="E984" s="34">
        <v>25</v>
      </c>
      <c r="F984" s="35" t="s">
        <v>1082</v>
      </c>
      <c r="G984" s="9"/>
      <c r="H984" s="36">
        <v>40</v>
      </c>
      <c r="I984" s="34"/>
      <c r="J984" s="38"/>
    </row>
    <row r="985" spans="1:10">
      <c r="A985" s="32">
        <f t="shared" si="6"/>
        <v>984</v>
      </c>
      <c r="B985" s="33">
        <v>45243</v>
      </c>
      <c r="C985" s="9">
        <v>2568</v>
      </c>
      <c r="D985" s="9" t="s">
        <v>899</v>
      </c>
      <c r="E985" s="34">
        <v>25</v>
      </c>
      <c r="F985" s="35" t="s">
        <v>1082</v>
      </c>
      <c r="G985" s="9"/>
      <c r="H985" s="36">
        <v>40</v>
      </c>
      <c r="I985" s="34"/>
      <c r="J985" s="38"/>
    </row>
    <row r="986" spans="1:10">
      <c r="A986" s="32">
        <f t="shared" si="6"/>
        <v>985</v>
      </c>
      <c r="B986" s="33">
        <v>45243</v>
      </c>
      <c r="C986" s="9">
        <v>2582</v>
      </c>
      <c r="D986" s="9" t="s">
        <v>900</v>
      </c>
      <c r="E986" s="34">
        <v>25</v>
      </c>
      <c r="F986" s="35" t="s">
        <v>1082</v>
      </c>
      <c r="G986" s="9"/>
      <c r="H986" s="36">
        <v>40</v>
      </c>
      <c r="I986" s="34"/>
      <c r="J986" s="38"/>
    </row>
    <row r="987" spans="1:10">
      <c r="A987" s="32">
        <f t="shared" si="6"/>
        <v>986</v>
      </c>
      <c r="B987" s="33">
        <v>45243</v>
      </c>
      <c r="C987" s="9" t="s">
        <v>901</v>
      </c>
      <c r="D987" s="9" t="s">
        <v>902</v>
      </c>
      <c r="E987" s="34">
        <v>25</v>
      </c>
      <c r="F987" s="35" t="s">
        <v>1082</v>
      </c>
      <c r="G987" s="9"/>
      <c r="H987" s="36">
        <v>50</v>
      </c>
      <c r="I987" s="34"/>
      <c r="J987" s="38"/>
    </row>
    <row r="988" spans="1:10">
      <c r="A988" s="32">
        <f t="shared" si="6"/>
        <v>987</v>
      </c>
      <c r="B988" s="33">
        <v>45243</v>
      </c>
      <c r="C988" s="9">
        <v>2489</v>
      </c>
      <c r="D988" s="9" t="s">
        <v>903</v>
      </c>
      <c r="E988" s="34">
        <v>25</v>
      </c>
      <c r="F988" s="35" t="s">
        <v>1082</v>
      </c>
      <c r="G988" s="9"/>
      <c r="H988" s="36">
        <v>40</v>
      </c>
      <c r="I988" s="34"/>
      <c r="J988" s="38"/>
    </row>
    <row r="989" spans="1:10">
      <c r="A989" s="32">
        <f t="shared" si="6"/>
        <v>988</v>
      </c>
      <c r="B989" s="33">
        <v>45243</v>
      </c>
      <c r="C989" s="9">
        <v>2878</v>
      </c>
      <c r="D989" s="9" t="s">
        <v>904</v>
      </c>
      <c r="E989" s="34">
        <v>55</v>
      </c>
      <c r="F989" s="35" t="s">
        <v>1040</v>
      </c>
      <c r="G989" s="9"/>
      <c r="H989" s="36">
        <v>25</v>
      </c>
      <c r="I989" s="34" t="s">
        <v>11</v>
      </c>
      <c r="J989" s="38"/>
    </row>
    <row r="990" spans="1:10">
      <c r="A990" s="32">
        <f t="shared" si="6"/>
        <v>989</v>
      </c>
      <c r="B990" s="33">
        <v>45243</v>
      </c>
      <c r="C990" s="9">
        <v>2764</v>
      </c>
      <c r="D990" s="9" t="s">
        <v>905</v>
      </c>
      <c r="E990" s="34">
        <v>25</v>
      </c>
      <c r="F990" s="35" t="s">
        <v>1082</v>
      </c>
      <c r="G990" s="9"/>
      <c r="H990" s="36">
        <v>40</v>
      </c>
      <c r="I990" s="34"/>
      <c r="J990" s="38"/>
    </row>
    <row r="991" spans="1:10">
      <c r="A991" s="32">
        <f t="shared" si="6"/>
        <v>990</v>
      </c>
      <c r="B991" s="33">
        <v>45243</v>
      </c>
      <c r="C991" s="9">
        <v>2873</v>
      </c>
      <c r="D991" s="9" t="s">
        <v>906</v>
      </c>
      <c r="E991" s="34">
        <v>24</v>
      </c>
      <c r="F991" s="35" t="s">
        <v>1083</v>
      </c>
      <c r="G991" s="9"/>
      <c r="H991" s="36">
        <v>16</v>
      </c>
      <c r="I991" s="34"/>
      <c r="J991" s="38"/>
    </row>
    <row r="992" spans="1:10">
      <c r="A992" s="32">
        <f t="shared" si="6"/>
        <v>991</v>
      </c>
      <c r="B992" s="33">
        <v>45243</v>
      </c>
      <c r="C992" s="9">
        <v>2874</v>
      </c>
      <c r="D992" s="9" t="s">
        <v>907</v>
      </c>
      <c r="E992" s="34">
        <v>24</v>
      </c>
      <c r="F992" s="35" t="s">
        <v>1083</v>
      </c>
      <c r="G992" s="9"/>
      <c r="H992" s="36">
        <v>16</v>
      </c>
      <c r="I992" s="34"/>
      <c r="J992" s="38"/>
    </row>
    <row r="993" spans="1:10">
      <c r="A993" s="32">
        <f t="shared" si="6"/>
        <v>992</v>
      </c>
      <c r="B993" s="33">
        <v>45243</v>
      </c>
      <c r="C993" s="9">
        <v>2851</v>
      </c>
      <c r="D993" s="9" t="s">
        <v>908</v>
      </c>
      <c r="E993" s="34">
        <v>24</v>
      </c>
      <c r="F993" s="35" t="s">
        <v>1083</v>
      </c>
      <c r="G993" s="9"/>
      <c r="H993" s="36">
        <v>16</v>
      </c>
      <c r="I993" s="34"/>
      <c r="J993" s="38"/>
    </row>
    <row r="994" spans="1:10">
      <c r="A994" s="32">
        <f t="shared" si="6"/>
        <v>993</v>
      </c>
      <c r="B994" s="33">
        <v>45243</v>
      </c>
      <c r="C994" s="9">
        <v>2878</v>
      </c>
      <c r="D994" s="9" t="s">
        <v>904</v>
      </c>
      <c r="E994" s="34">
        <v>25</v>
      </c>
      <c r="F994" s="35" t="s">
        <v>1082</v>
      </c>
      <c r="G994" s="9"/>
      <c r="H994" s="36">
        <v>40</v>
      </c>
      <c r="I994" s="34"/>
      <c r="J994" s="38"/>
    </row>
    <row r="995" spans="1:10">
      <c r="A995" s="32">
        <f t="shared" si="6"/>
        <v>994</v>
      </c>
      <c r="B995" s="33">
        <v>45244</v>
      </c>
      <c r="C995" s="9">
        <v>2626</v>
      </c>
      <c r="D995" s="9" t="s">
        <v>909</v>
      </c>
      <c r="E995" s="34">
        <v>25</v>
      </c>
      <c r="F995" s="35" t="s">
        <v>1082</v>
      </c>
      <c r="G995" s="9"/>
      <c r="H995" s="36">
        <v>40</v>
      </c>
      <c r="I995" s="34"/>
      <c r="J995" s="38"/>
    </row>
    <row r="996" spans="1:10">
      <c r="A996" s="32">
        <f t="shared" si="6"/>
        <v>995</v>
      </c>
      <c r="B996" s="33">
        <v>45244</v>
      </c>
      <c r="C996" s="9">
        <v>2625</v>
      </c>
      <c r="D996" s="9" t="s">
        <v>380</v>
      </c>
      <c r="E996" s="34">
        <v>25</v>
      </c>
      <c r="F996" s="35">
        <f>IFERROR(LOOKUP(E996,CODIGOS!A:A,CODIGOS!B:B)," ")</f>
        <v>0</v>
      </c>
      <c r="G996" s="9"/>
      <c r="H996" s="36">
        <v>40</v>
      </c>
      <c r="I996" s="34"/>
      <c r="J996" s="38"/>
    </row>
    <row r="997" spans="1:10">
      <c r="A997" s="32">
        <f t="shared" si="6"/>
        <v>996</v>
      </c>
      <c r="B997" s="33">
        <v>45244</v>
      </c>
      <c r="C997" s="9">
        <v>2745</v>
      </c>
      <c r="D997" s="9" t="s">
        <v>910</v>
      </c>
      <c r="E997" s="34">
        <v>25</v>
      </c>
      <c r="F997" s="35">
        <f>IFERROR(LOOKUP(E997,CODIGOS!A:A,CODIGOS!B:B)," ")</f>
        <v>0</v>
      </c>
      <c r="G997" s="9"/>
      <c r="H997" s="36">
        <v>40</v>
      </c>
      <c r="I997" s="34"/>
      <c r="J997" s="38"/>
    </row>
    <row r="998" spans="1:10">
      <c r="A998" s="32">
        <f t="shared" si="6"/>
        <v>997</v>
      </c>
      <c r="B998" s="33">
        <v>45244</v>
      </c>
      <c r="C998" s="9">
        <v>2527</v>
      </c>
      <c r="D998" s="9" t="s">
        <v>911</v>
      </c>
      <c r="E998" s="34">
        <v>25</v>
      </c>
      <c r="F998" s="35">
        <f>IFERROR(LOOKUP(E998,CODIGOS!A:A,CODIGOS!B:B)," ")</f>
        <v>0</v>
      </c>
      <c r="G998" s="9"/>
      <c r="H998" s="36">
        <v>40</v>
      </c>
      <c r="I998" s="34"/>
      <c r="J998" s="38"/>
    </row>
    <row r="999" spans="1:10">
      <c r="A999" s="32">
        <f t="shared" si="6"/>
        <v>998</v>
      </c>
      <c r="B999" s="33">
        <v>45244</v>
      </c>
      <c r="C999" s="9">
        <v>2744</v>
      </c>
      <c r="D999" s="9" t="s">
        <v>912</v>
      </c>
      <c r="E999" s="34">
        <v>25</v>
      </c>
      <c r="F999" s="35">
        <f>IFERROR(LOOKUP(E999,CODIGOS!A:A,CODIGOS!B:B)," ")</f>
        <v>0</v>
      </c>
      <c r="G999" s="9"/>
      <c r="H999" s="36">
        <v>40</v>
      </c>
      <c r="I999" s="34"/>
      <c r="J999" s="38"/>
    </row>
    <row r="1000" spans="1:10">
      <c r="A1000" s="32">
        <f t="shared" si="6"/>
        <v>999</v>
      </c>
      <c r="B1000" s="33">
        <v>45244</v>
      </c>
      <c r="C1000" s="9">
        <v>2755</v>
      </c>
      <c r="D1000" s="9" t="s">
        <v>913</v>
      </c>
      <c r="E1000" s="34">
        <v>25</v>
      </c>
      <c r="F1000" s="35">
        <f>IFERROR(LOOKUP(E1000,CODIGOS!A:A,CODIGOS!B:B)," ")</f>
        <v>0</v>
      </c>
      <c r="G1000" s="9"/>
      <c r="H1000" s="36">
        <v>40</v>
      </c>
      <c r="I1000" s="34"/>
      <c r="J1000" s="38"/>
    </row>
    <row r="1001" spans="1:10">
      <c r="A1001" s="32">
        <f t="shared" ref="A1001:A1006" si="7">IF(B1001&lt;&gt;0,A1000+1," ")</f>
        <v>1000</v>
      </c>
      <c r="B1001" s="33">
        <v>45244</v>
      </c>
      <c r="C1001" s="9">
        <v>2756</v>
      </c>
      <c r="D1001" s="9" t="s">
        <v>914</v>
      </c>
      <c r="E1001" s="34">
        <v>25</v>
      </c>
      <c r="F1001" s="35">
        <f>IFERROR(LOOKUP(E1001,CODIGOS!A:A,CODIGOS!B:B)," ")</f>
        <v>0</v>
      </c>
      <c r="G1001" s="9"/>
      <c r="H1001" s="36">
        <v>40</v>
      </c>
      <c r="I1001" s="34"/>
      <c r="J1001" s="38"/>
    </row>
    <row r="1002" spans="1:10">
      <c r="A1002" s="32">
        <f t="shared" si="7"/>
        <v>1001</v>
      </c>
      <c r="B1002" s="33">
        <v>45244</v>
      </c>
      <c r="C1002" s="9">
        <v>2532</v>
      </c>
      <c r="D1002" s="9" t="s">
        <v>419</v>
      </c>
      <c r="E1002" s="34">
        <v>25</v>
      </c>
      <c r="F1002" s="35">
        <f>IFERROR(LOOKUP(E1002,CODIGOS!A:A,CODIGOS!B:B)," ")</f>
        <v>0</v>
      </c>
      <c r="G1002" s="9"/>
      <c r="H1002" s="36">
        <v>40</v>
      </c>
      <c r="I1002" s="34"/>
      <c r="J1002" s="38"/>
    </row>
    <row r="1003" spans="1:10">
      <c r="A1003" s="32">
        <f t="shared" si="7"/>
        <v>1002</v>
      </c>
      <c r="B1003" s="33">
        <v>45245</v>
      </c>
      <c r="C1003" s="9">
        <v>2445</v>
      </c>
      <c r="D1003" s="9" t="s">
        <v>636</v>
      </c>
      <c r="E1003" s="34">
        <v>25</v>
      </c>
      <c r="F1003" s="35">
        <f>IFERROR(LOOKUP(E1003,CODIGOS!A:A,CODIGOS!B:B)," ")</f>
        <v>0</v>
      </c>
      <c r="G1003" s="9"/>
      <c r="H1003" s="36">
        <v>20</v>
      </c>
      <c r="I1003" s="34"/>
      <c r="J1003" s="38"/>
    </row>
    <row r="1004" spans="1:10">
      <c r="A1004" s="32">
        <f t="shared" si="7"/>
        <v>1003</v>
      </c>
      <c r="B1004" s="33">
        <v>45245</v>
      </c>
      <c r="C1004" s="9">
        <v>2622</v>
      </c>
      <c r="D1004" s="9" t="s">
        <v>915</v>
      </c>
      <c r="E1004" s="34">
        <v>25</v>
      </c>
      <c r="F1004" s="35">
        <f>IFERROR(LOOKUP(E1004,CODIGOS!A:A,CODIGOS!B:B)," ")</f>
        <v>0</v>
      </c>
      <c r="G1004" s="9"/>
      <c r="H1004" s="36">
        <v>40</v>
      </c>
      <c r="I1004" s="34"/>
      <c r="J1004" s="38"/>
    </row>
    <row r="1005" spans="1:10">
      <c r="A1005" s="32">
        <f t="shared" si="7"/>
        <v>1004</v>
      </c>
      <c r="B1005" s="33">
        <v>45245</v>
      </c>
      <c r="C1005" s="9">
        <v>2138</v>
      </c>
      <c r="D1005" s="9" t="s">
        <v>916</v>
      </c>
      <c r="E1005" s="34">
        <v>25</v>
      </c>
      <c r="F1005" s="35">
        <f>IFERROR(LOOKUP(E1005,CODIGOS!A:A,CODIGOS!B:B)," ")</f>
        <v>0</v>
      </c>
      <c r="G1005" s="9"/>
      <c r="H1005" s="36">
        <v>40</v>
      </c>
      <c r="I1005" s="34"/>
      <c r="J1005" s="38"/>
    </row>
    <row r="1006" spans="1:10">
      <c r="A1006" s="32">
        <f t="shared" si="7"/>
        <v>1005</v>
      </c>
      <c r="B1006" s="33">
        <v>45245</v>
      </c>
      <c r="C1006" s="9">
        <v>2109</v>
      </c>
      <c r="D1006" s="9" t="s">
        <v>917</v>
      </c>
      <c r="E1006" s="34">
        <v>25</v>
      </c>
      <c r="F1006" s="35">
        <f>IFERROR(LOOKUP(E1006,CODIGOS!A:A,CODIGOS!B:B)," ")</f>
        <v>0</v>
      </c>
      <c r="G1006" s="9"/>
      <c r="H1006" s="36">
        <v>40</v>
      </c>
      <c r="I1006" s="34"/>
      <c r="J1006" s="38"/>
    </row>
    <row r="1007" spans="1:10">
      <c r="A1007" s="32">
        <f t="shared" ref="A1007:A1070" si="8">IF(B1007&lt;&gt;0,A1006+1," ")</f>
        <v>1006</v>
      </c>
      <c r="B1007" s="33">
        <v>45245</v>
      </c>
      <c r="C1007" s="9">
        <v>2108</v>
      </c>
      <c r="D1007" s="9" t="s">
        <v>57</v>
      </c>
      <c r="E1007" s="34">
        <v>25</v>
      </c>
      <c r="F1007" s="35">
        <f>IFERROR(LOOKUP(E1007,CODIGOS!A:A,CODIGOS!B:B)," ")</f>
        <v>0</v>
      </c>
      <c r="G1007" s="9"/>
      <c r="H1007" s="36">
        <v>40</v>
      </c>
      <c r="I1007" s="34"/>
      <c r="J1007" s="38"/>
    </row>
    <row r="1008" spans="1:10">
      <c r="A1008" s="32">
        <f t="shared" si="8"/>
        <v>1007</v>
      </c>
      <c r="B1008" s="33">
        <v>45245</v>
      </c>
      <c r="C1008" s="9">
        <v>1901</v>
      </c>
      <c r="D1008" s="9" t="s">
        <v>147</v>
      </c>
      <c r="E1008" s="34">
        <v>25</v>
      </c>
      <c r="F1008" s="35">
        <f>IFERROR(LOOKUP(E1008,CODIGOS!A:A,CODIGOS!B:B)," ")</f>
        <v>0</v>
      </c>
      <c r="G1008" s="9"/>
      <c r="H1008" s="36">
        <v>40</v>
      </c>
      <c r="I1008" s="34"/>
      <c r="J1008" s="38"/>
    </row>
    <row r="1009" spans="1:10">
      <c r="A1009" s="32">
        <f t="shared" si="8"/>
        <v>1008</v>
      </c>
      <c r="B1009" s="33">
        <v>45245</v>
      </c>
      <c r="C1009" s="9">
        <v>2219</v>
      </c>
      <c r="D1009" s="9" t="s">
        <v>918</v>
      </c>
      <c r="E1009" s="34">
        <v>55</v>
      </c>
      <c r="F1009" s="35">
        <f>IFERROR(LOOKUP(E1009,CODIGOS!A:A,CODIGOS!B:B)," ")</f>
        <v>0</v>
      </c>
      <c r="G1009" s="9"/>
      <c r="H1009" s="36">
        <v>25</v>
      </c>
      <c r="I1009" s="34"/>
      <c r="J1009" s="38"/>
    </row>
    <row r="1010" spans="1:10">
      <c r="A1010" s="32">
        <f t="shared" si="8"/>
        <v>1009</v>
      </c>
      <c r="B1010" s="33">
        <v>45245</v>
      </c>
      <c r="C1010" s="9">
        <v>2219</v>
      </c>
      <c r="D1010" s="9" t="s">
        <v>918</v>
      </c>
      <c r="E1010" s="34">
        <v>24</v>
      </c>
      <c r="F1010" s="35">
        <f>IFERROR(LOOKUP(E1010,CODIGOS!A:A,CODIGOS!B:B)," ")</f>
        <v>0</v>
      </c>
      <c r="G1010" s="9"/>
      <c r="H1010" s="36">
        <v>16</v>
      </c>
      <c r="I1010" s="34"/>
      <c r="J1010" s="38"/>
    </row>
    <row r="1011" spans="1:10">
      <c r="A1011" s="32">
        <f t="shared" si="8"/>
        <v>1010</v>
      </c>
      <c r="B1011" s="33">
        <v>45245</v>
      </c>
      <c r="C1011" s="9">
        <v>2339</v>
      </c>
      <c r="D1011" s="9" t="s">
        <v>919</v>
      </c>
      <c r="E1011" s="34">
        <v>25</v>
      </c>
      <c r="F1011" s="35">
        <f>IFERROR(LOOKUP(E1011,CODIGOS!A:A,CODIGOS!B:B)," ")</f>
        <v>0</v>
      </c>
      <c r="G1011" s="9"/>
      <c r="H1011" s="36">
        <v>40</v>
      </c>
      <c r="I1011" s="34"/>
      <c r="J1011" s="38"/>
    </row>
    <row r="1012" spans="1:10">
      <c r="A1012" s="32">
        <f t="shared" si="8"/>
        <v>1011</v>
      </c>
      <c r="B1012" s="33">
        <v>45245</v>
      </c>
      <c r="C1012" s="9">
        <v>2470</v>
      </c>
      <c r="D1012" s="9" t="s">
        <v>427</v>
      </c>
      <c r="E1012" s="34">
        <v>25</v>
      </c>
      <c r="F1012" s="35">
        <f>IFERROR(LOOKUP(E1012,CODIGOS!A:A,CODIGOS!B:B)," ")</f>
        <v>0</v>
      </c>
      <c r="G1012" s="9"/>
      <c r="H1012" s="36">
        <v>40</v>
      </c>
      <c r="I1012" s="34"/>
      <c r="J1012" s="38"/>
    </row>
    <row r="1013" spans="1:10">
      <c r="A1013" s="32">
        <f t="shared" si="8"/>
        <v>1012</v>
      </c>
      <c r="B1013" s="33">
        <v>45245</v>
      </c>
      <c r="C1013" s="9" t="s">
        <v>301</v>
      </c>
      <c r="D1013" s="9" t="s">
        <v>302</v>
      </c>
      <c r="E1013" s="34">
        <v>25</v>
      </c>
      <c r="F1013" s="35">
        <f>IFERROR(LOOKUP(E1013,CODIGOS!A:A,CODIGOS!B:B)," ")</f>
        <v>0</v>
      </c>
      <c r="G1013" s="9"/>
      <c r="H1013" s="36">
        <v>40</v>
      </c>
      <c r="I1013" s="34"/>
      <c r="J1013" s="38"/>
    </row>
    <row r="1014" spans="1:10">
      <c r="A1014" s="32">
        <f t="shared" si="8"/>
        <v>1013</v>
      </c>
      <c r="B1014" s="33">
        <v>45250</v>
      </c>
      <c r="C1014" s="9">
        <v>2015</v>
      </c>
      <c r="D1014" s="9" t="s">
        <v>920</v>
      </c>
      <c r="E1014" s="34">
        <v>25</v>
      </c>
      <c r="F1014" s="35">
        <f>IFERROR(LOOKUP(E1014,CODIGOS!A:A,CODIGOS!B:B)," ")</f>
        <v>0</v>
      </c>
      <c r="G1014" s="9"/>
      <c r="H1014" s="36">
        <v>40</v>
      </c>
      <c r="I1014" s="34"/>
      <c r="J1014" s="38"/>
    </row>
    <row r="1015" spans="1:10">
      <c r="A1015" s="32">
        <f t="shared" si="8"/>
        <v>1014</v>
      </c>
      <c r="B1015" s="33">
        <v>45250</v>
      </c>
      <c r="C1015" s="9">
        <v>2615</v>
      </c>
      <c r="D1015" s="9" t="s">
        <v>921</v>
      </c>
      <c r="E1015" s="34">
        <v>25</v>
      </c>
      <c r="F1015" s="35">
        <f>IFERROR(LOOKUP(E1015,CODIGOS!A:A,CODIGOS!B:B)," ")</f>
        <v>0</v>
      </c>
      <c r="G1015" s="9"/>
      <c r="H1015" s="36">
        <v>40</v>
      </c>
      <c r="I1015" s="34"/>
      <c r="J1015" s="38"/>
    </row>
    <row r="1016" spans="1:10">
      <c r="A1016" s="32">
        <f t="shared" si="8"/>
        <v>1015</v>
      </c>
      <c r="B1016" s="33">
        <v>45250</v>
      </c>
      <c r="C1016" s="9">
        <v>1945</v>
      </c>
      <c r="D1016" s="9" t="s">
        <v>922</v>
      </c>
      <c r="E1016" s="34">
        <v>25</v>
      </c>
      <c r="F1016" s="35">
        <f>IFERROR(LOOKUP(E1016,CODIGOS!A:A,CODIGOS!B:B)," ")</f>
        <v>0</v>
      </c>
      <c r="G1016" s="9"/>
      <c r="H1016" s="36">
        <v>40</v>
      </c>
      <c r="I1016" s="34"/>
      <c r="J1016" s="38"/>
    </row>
    <row r="1017" spans="1:10">
      <c r="A1017" s="32">
        <f t="shared" si="8"/>
        <v>1016</v>
      </c>
      <c r="B1017" s="33">
        <v>45250</v>
      </c>
      <c r="C1017" s="9">
        <v>1928</v>
      </c>
      <c r="D1017" s="9" t="s">
        <v>923</v>
      </c>
      <c r="E1017" s="34">
        <v>25</v>
      </c>
      <c r="F1017" s="35">
        <f>IFERROR(LOOKUP(E1017,CODIGOS!A:A,CODIGOS!B:B)," ")</f>
        <v>0</v>
      </c>
      <c r="G1017" s="9"/>
      <c r="H1017" s="36">
        <v>40</v>
      </c>
      <c r="I1017" s="34"/>
      <c r="J1017" s="38"/>
    </row>
    <row r="1018" spans="1:10">
      <c r="A1018" s="32">
        <f t="shared" si="8"/>
        <v>1017</v>
      </c>
      <c r="B1018" s="33">
        <v>45250</v>
      </c>
      <c r="C1018" s="9">
        <v>2189</v>
      </c>
      <c r="D1018" s="9" t="s">
        <v>924</v>
      </c>
      <c r="E1018" s="34">
        <v>25</v>
      </c>
      <c r="F1018" s="35">
        <f>IFERROR(LOOKUP(E1018,CODIGOS!A:A,CODIGOS!B:B)," ")</f>
        <v>0</v>
      </c>
      <c r="G1018" s="9"/>
      <c r="H1018" s="36">
        <v>40</v>
      </c>
      <c r="I1018" s="34"/>
      <c r="J1018" s="38"/>
    </row>
    <row r="1019" spans="1:10">
      <c r="A1019" s="32">
        <f t="shared" si="8"/>
        <v>1018</v>
      </c>
      <c r="B1019" s="33">
        <v>45250</v>
      </c>
      <c r="C1019" s="9">
        <v>2670</v>
      </c>
      <c r="D1019" s="9" t="s">
        <v>925</v>
      </c>
      <c r="E1019" s="34">
        <v>25</v>
      </c>
      <c r="F1019" s="35">
        <f>IFERROR(LOOKUP(E1019,CODIGOS!A:A,CODIGOS!B:B)," ")</f>
        <v>0</v>
      </c>
      <c r="G1019" s="9"/>
      <c r="H1019" s="36">
        <v>40</v>
      </c>
      <c r="I1019" s="34"/>
      <c r="J1019" s="38"/>
    </row>
    <row r="1020" spans="1:10">
      <c r="A1020" s="32">
        <f t="shared" si="8"/>
        <v>1019</v>
      </c>
      <c r="B1020" s="33">
        <v>45250</v>
      </c>
      <c r="C1020" s="9" t="s">
        <v>926</v>
      </c>
      <c r="D1020" s="9" t="s">
        <v>927</v>
      </c>
      <c r="E1020" s="34">
        <v>25</v>
      </c>
      <c r="F1020" s="35">
        <f>IFERROR(LOOKUP(E1020,CODIGOS!A:A,CODIGOS!B:B)," ")</f>
        <v>0</v>
      </c>
      <c r="G1020" s="9"/>
      <c r="H1020" s="36">
        <v>50</v>
      </c>
      <c r="I1020" s="34"/>
      <c r="J1020" s="38"/>
    </row>
    <row r="1021" spans="1:10">
      <c r="A1021" s="32">
        <f t="shared" si="8"/>
        <v>1020</v>
      </c>
      <c r="B1021" s="33">
        <v>45250</v>
      </c>
      <c r="C1021" s="9">
        <v>1030</v>
      </c>
      <c r="D1021" s="9" t="s">
        <v>928</v>
      </c>
      <c r="E1021" s="34">
        <v>26</v>
      </c>
      <c r="F1021" s="35">
        <f>IFERROR(LOOKUP(E1021,CODIGOS!A:A,CODIGOS!B:B)," ")</f>
        <v>0</v>
      </c>
      <c r="G1021" s="9"/>
      <c r="H1021" s="36">
        <v>10</v>
      </c>
      <c r="I1021" s="34"/>
      <c r="J1021" s="38"/>
    </row>
    <row r="1022" spans="1:10">
      <c r="A1022" s="32">
        <f t="shared" si="8"/>
        <v>1021</v>
      </c>
      <c r="B1022" s="33">
        <v>45250</v>
      </c>
      <c r="C1022" s="9">
        <v>1581</v>
      </c>
      <c r="D1022" s="9" t="s">
        <v>929</v>
      </c>
      <c r="E1022" s="34">
        <v>26</v>
      </c>
      <c r="F1022" s="35">
        <f>IFERROR(LOOKUP(E1022,CODIGOS!A:A,CODIGOS!B:B)," ")</f>
        <v>0</v>
      </c>
      <c r="G1022" s="9"/>
      <c r="H1022" s="36">
        <v>10</v>
      </c>
      <c r="I1022" s="34"/>
      <c r="J1022" s="38"/>
    </row>
    <row r="1023" spans="1:10">
      <c r="A1023" s="32">
        <f t="shared" si="8"/>
        <v>1022</v>
      </c>
      <c r="B1023" s="33">
        <v>45250</v>
      </c>
      <c r="C1023" s="9">
        <v>2609</v>
      </c>
      <c r="D1023" s="9" t="s">
        <v>278</v>
      </c>
      <c r="E1023" s="34">
        <v>25</v>
      </c>
      <c r="F1023" s="35">
        <f>IFERROR(LOOKUP(E1023,CODIGOS!A:A,CODIGOS!B:B)," ")</f>
        <v>0</v>
      </c>
      <c r="G1023" s="9"/>
      <c r="H1023" s="36">
        <v>40</v>
      </c>
      <c r="I1023" s="34"/>
      <c r="J1023" s="38"/>
    </row>
    <row r="1024" spans="1:10">
      <c r="A1024" s="32">
        <f t="shared" si="8"/>
        <v>1023</v>
      </c>
      <c r="B1024" s="33">
        <v>45250</v>
      </c>
      <c r="C1024" s="9" t="s">
        <v>930</v>
      </c>
      <c r="D1024" s="9" t="s">
        <v>277</v>
      </c>
      <c r="E1024" s="34">
        <v>25</v>
      </c>
      <c r="F1024" s="35">
        <f>IFERROR(LOOKUP(E1024,CODIGOS!A:A,CODIGOS!B:B)," ")</f>
        <v>0</v>
      </c>
      <c r="G1024" s="9"/>
      <c r="H1024" s="36">
        <v>50</v>
      </c>
      <c r="I1024" s="34"/>
      <c r="J1024" s="38"/>
    </row>
    <row r="1025" spans="1:10">
      <c r="A1025" s="32">
        <f t="shared" si="8"/>
        <v>1024</v>
      </c>
      <c r="B1025" s="33">
        <v>45250</v>
      </c>
      <c r="C1025" s="9">
        <v>2500</v>
      </c>
      <c r="D1025" s="9" t="s">
        <v>931</v>
      </c>
      <c r="E1025" s="34">
        <v>25</v>
      </c>
      <c r="F1025" s="35">
        <f>IFERROR(LOOKUP(E1025,CODIGOS!A:A,CODIGOS!B:B)," ")</f>
        <v>0</v>
      </c>
      <c r="G1025" s="9"/>
      <c r="H1025" s="36">
        <v>40</v>
      </c>
      <c r="I1025" s="34"/>
      <c r="J1025" s="38"/>
    </row>
    <row r="1026" spans="1:10">
      <c r="A1026" s="32">
        <f t="shared" si="8"/>
        <v>1025</v>
      </c>
      <c r="B1026" s="33">
        <v>45250</v>
      </c>
      <c r="C1026" s="9">
        <v>2303</v>
      </c>
      <c r="D1026" s="9" t="s">
        <v>932</v>
      </c>
      <c r="E1026" s="34">
        <v>26</v>
      </c>
      <c r="F1026" s="35">
        <f>IFERROR(LOOKUP(E1026,CODIGOS!A:A,CODIGOS!B:B)," ")</f>
        <v>0</v>
      </c>
      <c r="G1026" s="9"/>
      <c r="H1026" s="36">
        <v>10</v>
      </c>
      <c r="I1026" s="34"/>
      <c r="J1026" s="38"/>
    </row>
    <row r="1027" spans="1:10">
      <c r="A1027" s="32">
        <f t="shared" si="8"/>
        <v>1026</v>
      </c>
      <c r="B1027" s="33">
        <v>45250</v>
      </c>
      <c r="C1027" s="9">
        <v>2129</v>
      </c>
      <c r="D1027" s="9" t="s">
        <v>933</v>
      </c>
      <c r="E1027" s="34">
        <v>26</v>
      </c>
      <c r="F1027" s="35">
        <f>IFERROR(LOOKUP(E1027,CODIGOS!A:A,CODIGOS!B:B)," ")</f>
        <v>0</v>
      </c>
      <c r="G1027" s="9"/>
      <c r="H1027" s="36">
        <v>10</v>
      </c>
      <c r="I1027" s="34"/>
      <c r="J1027" s="38"/>
    </row>
    <row r="1028" spans="1:10">
      <c r="A1028" s="32">
        <f t="shared" si="8"/>
        <v>1027</v>
      </c>
      <c r="B1028" s="33">
        <v>45250</v>
      </c>
      <c r="C1028" s="9">
        <v>1897</v>
      </c>
      <c r="D1028" s="9" t="s">
        <v>934</v>
      </c>
      <c r="E1028" s="34">
        <v>25</v>
      </c>
      <c r="F1028" s="35">
        <f>IFERROR(LOOKUP(E1028,CODIGOS!A:A,CODIGOS!B:B)," ")</f>
        <v>0</v>
      </c>
      <c r="G1028" s="9"/>
      <c r="H1028" s="36">
        <v>40</v>
      </c>
      <c r="I1028" s="34"/>
      <c r="J1028" s="38"/>
    </row>
    <row r="1029" spans="1:10">
      <c r="A1029" s="32">
        <f t="shared" si="8"/>
        <v>1028</v>
      </c>
      <c r="B1029" s="33">
        <v>45250</v>
      </c>
      <c r="C1029" s="9">
        <v>1898</v>
      </c>
      <c r="D1029" s="9" t="s">
        <v>935</v>
      </c>
      <c r="E1029" s="34">
        <v>25</v>
      </c>
      <c r="F1029" s="35">
        <f>IFERROR(LOOKUP(E1029,CODIGOS!A:A,CODIGOS!B:B)," ")</f>
        <v>0</v>
      </c>
      <c r="G1029" s="9"/>
      <c r="H1029" s="36">
        <v>40</v>
      </c>
      <c r="I1029" s="34"/>
      <c r="J1029" s="38"/>
    </row>
    <row r="1030" spans="1:10">
      <c r="A1030" s="32">
        <f t="shared" si="8"/>
        <v>1029</v>
      </c>
      <c r="B1030" s="33">
        <v>45250</v>
      </c>
      <c r="C1030" s="9">
        <v>2805</v>
      </c>
      <c r="D1030" s="9" t="s">
        <v>936</v>
      </c>
      <c r="E1030" s="34">
        <v>26</v>
      </c>
      <c r="F1030" s="35">
        <f>IFERROR(LOOKUP(E1030,CODIGOS!A:A,CODIGOS!B:B)," ")</f>
        <v>0</v>
      </c>
      <c r="G1030" s="9"/>
      <c r="H1030" s="36">
        <v>10</v>
      </c>
      <c r="I1030" s="34"/>
      <c r="J1030" s="38"/>
    </row>
    <row r="1031" spans="1:10">
      <c r="A1031" s="32">
        <f t="shared" si="8"/>
        <v>1030</v>
      </c>
      <c r="B1031" s="33">
        <v>45250</v>
      </c>
      <c r="C1031" s="9">
        <v>2401</v>
      </c>
      <c r="D1031" s="9" t="s">
        <v>937</v>
      </c>
      <c r="E1031" s="34">
        <v>25</v>
      </c>
      <c r="F1031" s="35">
        <f>IFERROR(LOOKUP(E1031,CODIGOS!A:A,CODIGOS!B:B)," ")</f>
        <v>0</v>
      </c>
      <c r="G1031" s="9"/>
      <c r="H1031" s="36">
        <v>40</v>
      </c>
      <c r="I1031" s="34"/>
      <c r="J1031" s="38"/>
    </row>
    <row r="1032" spans="1:10">
      <c r="A1032" s="32">
        <f t="shared" si="8"/>
        <v>1031</v>
      </c>
      <c r="B1032" s="33">
        <v>45250</v>
      </c>
      <c r="C1032" s="9">
        <v>2248</v>
      </c>
      <c r="D1032" s="9" t="s">
        <v>938</v>
      </c>
      <c r="E1032" s="34">
        <v>25</v>
      </c>
      <c r="F1032" s="35">
        <f>IFERROR(LOOKUP(E1032,CODIGOS!A:A,CODIGOS!B:B)," ")</f>
        <v>0</v>
      </c>
      <c r="G1032" s="9"/>
      <c r="H1032" s="36">
        <v>40</v>
      </c>
      <c r="I1032" s="34"/>
      <c r="J1032" s="38"/>
    </row>
    <row r="1033" spans="1:10">
      <c r="A1033" s="32">
        <f t="shared" si="8"/>
        <v>1032</v>
      </c>
      <c r="B1033" s="33">
        <v>45250</v>
      </c>
      <c r="C1033" s="9">
        <v>2434</v>
      </c>
      <c r="D1033" s="9" t="s">
        <v>939</v>
      </c>
      <c r="E1033" s="34">
        <v>25</v>
      </c>
      <c r="F1033" s="35">
        <f>IFERROR(LOOKUP(E1033,CODIGOS!A:A,CODIGOS!B:B)," ")</f>
        <v>0</v>
      </c>
      <c r="G1033" s="9"/>
      <c r="H1033" s="36">
        <v>40</v>
      </c>
      <c r="I1033" s="34"/>
      <c r="J1033" s="38"/>
    </row>
    <row r="1034" spans="1:10">
      <c r="A1034" s="32">
        <f t="shared" si="8"/>
        <v>1033</v>
      </c>
      <c r="B1034" s="33">
        <v>45250</v>
      </c>
      <c r="C1034" s="9">
        <v>2435</v>
      </c>
      <c r="D1034" s="9" t="s">
        <v>940</v>
      </c>
      <c r="E1034" s="34">
        <v>25</v>
      </c>
      <c r="F1034" s="35">
        <f>IFERROR(LOOKUP(E1034,CODIGOS!A:A,CODIGOS!B:B)," ")</f>
        <v>0</v>
      </c>
      <c r="G1034" s="9"/>
      <c r="H1034" s="36">
        <v>40</v>
      </c>
      <c r="I1034" s="34"/>
      <c r="J1034" s="38"/>
    </row>
    <row r="1035" spans="1:10">
      <c r="A1035" s="32">
        <f t="shared" si="8"/>
        <v>1034</v>
      </c>
      <c r="B1035" s="33">
        <v>45250</v>
      </c>
      <c r="C1035" s="9">
        <v>2654</v>
      </c>
      <c r="D1035" s="9" t="s">
        <v>229</v>
      </c>
      <c r="E1035" s="34">
        <v>25</v>
      </c>
      <c r="F1035" s="35">
        <f>IFERROR(LOOKUP(E1035,CODIGOS!A:A,CODIGOS!B:B)," ")</f>
        <v>0</v>
      </c>
      <c r="G1035" s="9"/>
      <c r="H1035" s="36">
        <v>40</v>
      </c>
      <c r="I1035" s="34"/>
      <c r="J1035" s="38"/>
    </row>
    <row r="1036" spans="1:10">
      <c r="A1036" s="32">
        <f t="shared" si="8"/>
        <v>1035</v>
      </c>
      <c r="B1036" s="33">
        <v>45250</v>
      </c>
      <c r="C1036" s="9">
        <v>2338</v>
      </c>
      <c r="D1036" s="9" t="s">
        <v>941</v>
      </c>
      <c r="E1036" s="34">
        <v>25</v>
      </c>
      <c r="F1036" s="35">
        <f>IFERROR(LOOKUP(E1036,CODIGOS!A:A,CODIGOS!B:B)," ")</f>
        <v>0</v>
      </c>
      <c r="G1036" s="9"/>
      <c r="H1036" s="36">
        <v>40</v>
      </c>
      <c r="I1036" s="34"/>
      <c r="J1036" s="38"/>
    </row>
    <row r="1037" spans="1:10">
      <c r="A1037" s="32">
        <f t="shared" si="8"/>
        <v>1036</v>
      </c>
      <c r="B1037" s="33">
        <v>45250</v>
      </c>
      <c r="C1037" s="9">
        <v>2464</v>
      </c>
      <c r="D1037" s="9" t="s">
        <v>942</v>
      </c>
      <c r="E1037" s="34">
        <v>55</v>
      </c>
      <c r="F1037" s="35">
        <f>IFERROR(LOOKUP(E1037,CODIGOS!A:A,CODIGOS!B:B)," ")</f>
        <v>0</v>
      </c>
      <c r="G1037" s="9"/>
      <c r="H1037" s="36">
        <v>25</v>
      </c>
      <c r="I1037" s="34"/>
      <c r="J1037" s="38"/>
    </row>
    <row r="1038" spans="1:10">
      <c r="A1038" s="32">
        <f t="shared" si="8"/>
        <v>1037</v>
      </c>
      <c r="B1038" s="33">
        <v>45250</v>
      </c>
      <c r="C1038" s="9">
        <v>2710</v>
      </c>
      <c r="D1038" s="9" t="s">
        <v>943</v>
      </c>
      <c r="E1038" s="34">
        <v>25</v>
      </c>
      <c r="F1038" s="35">
        <f>IFERROR(LOOKUP(E1038,CODIGOS!A:A,CODIGOS!B:B)," ")</f>
        <v>0</v>
      </c>
      <c r="G1038" s="9"/>
      <c r="H1038" s="36">
        <v>40</v>
      </c>
      <c r="I1038" s="34"/>
      <c r="J1038" s="38"/>
    </row>
    <row r="1039" spans="1:10">
      <c r="A1039" s="32">
        <f t="shared" si="8"/>
        <v>1038</v>
      </c>
      <c r="B1039" s="33">
        <v>45250</v>
      </c>
      <c r="C1039" s="9">
        <v>2684</v>
      </c>
      <c r="D1039" s="9" t="s">
        <v>944</v>
      </c>
      <c r="E1039" s="34">
        <v>26</v>
      </c>
      <c r="F1039" s="35">
        <f>IFERROR(LOOKUP(E1039,CODIGOS!A:A,CODIGOS!B:B)," ")</f>
        <v>0</v>
      </c>
      <c r="G1039" s="9"/>
      <c r="H1039" s="36">
        <v>10</v>
      </c>
      <c r="I1039" s="34"/>
      <c r="J1039" s="38"/>
    </row>
    <row r="1040" spans="1:10">
      <c r="A1040" s="32">
        <f t="shared" si="8"/>
        <v>1039</v>
      </c>
      <c r="B1040" s="33">
        <v>45250</v>
      </c>
      <c r="C1040" s="9">
        <v>2709</v>
      </c>
      <c r="D1040" s="9" t="s">
        <v>945</v>
      </c>
      <c r="E1040" s="34">
        <v>25</v>
      </c>
      <c r="F1040" s="35">
        <f>IFERROR(LOOKUP(E1040,CODIGOS!A:A,CODIGOS!B:B)," ")</f>
        <v>0</v>
      </c>
      <c r="G1040" s="9"/>
      <c r="H1040" s="36">
        <v>40</v>
      </c>
      <c r="I1040" s="34"/>
      <c r="J1040" s="38"/>
    </row>
    <row r="1041" spans="1:10">
      <c r="A1041" s="32">
        <f t="shared" si="8"/>
        <v>1040</v>
      </c>
      <c r="B1041" s="33">
        <v>45250</v>
      </c>
      <c r="C1041" s="9">
        <v>1042</v>
      </c>
      <c r="D1041" s="9" t="s">
        <v>946</v>
      </c>
      <c r="E1041" s="34">
        <v>25</v>
      </c>
      <c r="F1041" s="35">
        <f>IFERROR(LOOKUP(E1041,CODIGOS!A:A,CODIGOS!B:B)," ")</f>
        <v>0</v>
      </c>
      <c r="G1041" s="9"/>
      <c r="H1041" s="36">
        <v>40</v>
      </c>
      <c r="I1041" s="34"/>
      <c r="J1041" s="38"/>
    </row>
    <row r="1042" spans="1:10">
      <c r="A1042" s="32">
        <f t="shared" si="8"/>
        <v>1041</v>
      </c>
      <c r="B1042" s="33">
        <v>45250</v>
      </c>
      <c r="C1042" s="9">
        <v>2553</v>
      </c>
      <c r="D1042" s="9" t="s">
        <v>947</v>
      </c>
      <c r="E1042" s="34">
        <v>25</v>
      </c>
      <c r="F1042" s="35">
        <f>IFERROR(LOOKUP(E1042,CODIGOS!A:A,CODIGOS!B:B)," ")</f>
        <v>0</v>
      </c>
      <c r="G1042" s="9"/>
      <c r="H1042" s="36">
        <v>40</v>
      </c>
      <c r="I1042" s="34"/>
      <c r="J1042" s="38"/>
    </row>
    <row r="1043" spans="1:10">
      <c r="A1043" s="32">
        <f t="shared" si="8"/>
        <v>1042</v>
      </c>
      <c r="B1043" s="33">
        <v>45250</v>
      </c>
      <c r="C1043" s="9">
        <v>2699</v>
      </c>
      <c r="D1043" s="9" t="s">
        <v>289</v>
      </c>
      <c r="E1043" s="34">
        <v>25</v>
      </c>
      <c r="F1043" s="35">
        <f>IFERROR(LOOKUP(E1043,CODIGOS!A:A,CODIGOS!B:B)," ")</f>
        <v>0</v>
      </c>
      <c r="G1043" s="9"/>
      <c r="H1043" s="36">
        <v>40</v>
      </c>
      <c r="I1043" s="34"/>
      <c r="J1043" s="38"/>
    </row>
    <row r="1044" spans="1:10">
      <c r="A1044" s="32">
        <f t="shared" si="8"/>
        <v>1043</v>
      </c>
      <c r="B1044" s="33">
        <v>45250</v>
      </c>
      <c r="C1044" s="9">
        <v>2698</v>
      </c>
      <c r="D1044" s="9" t="s">
        <v>948</v>
      </c>
      <c r="E1044" s="34">
        <v>25</v>
      </c>
      <c r="F1044" s="35">
        <f>IFERROR(LOOKUP(E1044,CODIGOS!A:A,CODIGOS!B:B)," ")</f>
        <v>0</v>
      </c>
      <c r="G1044" s="9"/>
      <c r="H1044" s="36">
        <v>40</v>
      </c>
      <c r="I1044" s="34"/>
      <c r="J1044" s="38"/>
    </row>
    <row r="1045" spans="1:10">
      <c r="A1045" s="32">
        <f t="shared" si="8"/>
        <v>1044</v>
      </c>
      <c r="B1045" s="33">
        <v>45250</v>
      </c>
      <c r="C1045" s="9">
        <v>2692</v>
      </c>
      <c r="D1045" s="9" t="s">
        <v>292</v>
      </c>
      <c r="E1045" s="34">
        <v>25</v>
      </c>
      <c r="F1045" s="35">
        <f>IFERROR(LOOKUP(E1045,CODIGOS!A:A,CODIGOS!B:B)," ")</f>
        <v>0</v>
      </c>
      <c r="G1045" s="9"/>
      <c r="H1045" s="36">
        <v>40</v>
      </c>
      <c r="I1045" s="34"/>
      <c r="J1045" s="38"/>
    </row>
    <row r="1046" spans="1:10">
      <c r="A1046" s="32">
        <f t="shared" si="8"/>
        <v>1045</v>
      </c>
      <c r="B1046" s="33">
        <v>45250</v>
      </c>
      <c r="C1046" s="9">
        <v>2735</v>
      </c>
      <c r="D1046" s="9" t="s">
        <v>369</v>
      </c>
      <c r="E1046" s="34">
        <v>26</v>
      </c>
      <c r="F1046" s="35">
        <f>IFERROR(LOOKUP(E1046,CODIGOS!A:A,CODIGOS!B:B)," ")</f>
        <v>0</v>
      </c>
      <c r="G1046" s="9"/>
      <c r="H1046" s="36">
        <v>10</v>
      </c>
      <c r="I1046" s="34"/>
      <c r="J1046" s="38"/>
    </row>
    <row r="1047" spans="1:10">
      <c r="A1047" s="32">
        <f t="shared" si="8"/>
        <v>1046</v>
      </c>
      <c r="B1047" s="33">
        <v>45250</v>
      </c>
      <c r="C1047" s="9">
        <v>2728</v>
      </c>
      <c r="D1047" s="9" t="s">
        <v>949</v>
      </c>
      <c r="E1047" s="34">
        <v>25</v>
      </c>
      <c r="F1047" s="35">
        <f>IFERROR(LOOKUP(E1047,CODIGOS!A:A,CODIGOS!B:B)," ")</f>
        <v>0</v>
      </c>
      <c r="G1047" s="9"/>
      <c r="H1047" s="36">
        <v>40</v>
      </c>
      <c r="I1047" s="34"/>
      <c r="J1047" s="38"/>
    </row>
    <row r="1048" spans="1:10">
      <c r="A1048" s="32">
        <f t="shared" si="8"/>
        <v>1047</v>
      </c>
      <c r="B1048" s="33" t="s">
        <v>950</v>
      </c>
      <c r="C1048" s="9">
        <v>2643</v>
      </c>
      <c r="D1048" s="9" t="s">
        <v>951</v>
      </c>
      <c r="E1048" s="34">
        <v>25</v>
      </c>
      <c r="F1048" s="35">
        <f>IFERROR(LOOKUP(E1048,CODIGOS!A:A,CODIGOS!B:B)," ")</f>
        <v>0</v>
      </c>
      <c r="G1048" s="9"/>
      <c r="H1048" s="36">
        <v>40</v>
      </c>
      <c r="I1048" s="34"/>
      <c r="J1048" s="38"/>
    </row>
    <row r="1049" spans="1:10">
      <c r="A1049" s="32">
        <f t="shared" si="8"/>
        <v>1048</v>
      </c>
      <c r="B1049" s="33">
        <v>45250</v>
      </c>
      <c r="C1049" s="9">
        <v>2629</v>
      </c>
      <c r="D1049" s="9" t="s">
        <v>952</v>
      </c>
      <c r="E1049" s="34">
        <v>25</v>
      </c>
      <c r="F1049" s="35">
        <f>IFERROR(LOOKUP(E1049,CODIGOS!A:A,CODIGOS!B:B)," ")</f>
        <v>0</v>
      </c>
      <c r="G1049" s="9"/>
      <c r="H1049" s="36">
        <v>40</v>
      </c>
      <c r="I1049" s="34"/>
      <c r="J1049" s="38"/>
    </row>
    <row r="1050" spans="1:10">
      <c r="A1050" s="32">
        <f t="shared" si="8"/>
        <v>1049</v>
      </c>
      <c r="B1050" s="33">
        <v>45250</v>
      </c>
      <c r="C1050" s="9">
        <v>2787</v>
      </c>
      <c r="D1050" s="9" t="s">
        <v>953</v>
      </c>
      <c r="E1050" s="34">
        <v>25</v>
      </c>
      <c r="F1050" s="35">
        <f>IFERROR(LOOKUP(E1050,CODIGOS!A:A,CODIGOS!B:B)," ")</f>
        <v>0</v>
      </c>
      <c r="G1050" s="9"/>
      <c r="H1050" s="36">
        <v>40</v>
      </c>
      <c r="I1050" s="34"/>
      <c r="J1050" s="38"/>
    </row>
    <row r="1051" spans="1:10">
      <c r="A1051" s="32">
        <f t="shared" si="8"/>
        <v>1050</v>
      </c>
      <c r="B1051" s="33">
        <v>45250</v>
      </c>
      <c r="C1051" s="9">
        <v>2788</v>
      </c>
      <c r="D1051" s="9" t="s">
        <v>954</v>
      </c>
      <c r="E1051" s="34">
        <v>25</v>
      </c>
      <c r="F1051" s="35">
        <f>IFERROR(LOOKUP(E1051,CODIGOS!A:A,CODIGOS!B:B)," ")</f>
        <v>0</v>
      </c>
      <c r="G1051" s="9"/>
      <c r="H1051" s="36">
        <v>40</v>
      </c>
      <c r="I1051" s="34"/>
      <c r="J1051" s="38"/>
    </row>
    <row r="1052" spans="1:10">
      <c r="A1052" s="32">
        <f t="shared" si="8"/>
        <v>1051</v>
      </c>
      <c r="B1052" s="33">
        <v>45250</v>
      </c>
      <c r="C1052" s="9">
        <v>2834</v>
      </c>
      <c r="D1052" s="9" t="s">
        <v>955</v>
      </c>
      <c r="E1052" s="34">
        <v>25</v>
      </c>
      <c r="F1052" s="35">
        <f>IFERROR(LOOKUP(E1052,CODIGOS!A:A,CODIGOS!B:B)," ")</f>
        <v>0</v>
      </c>
      <c r="G1052" s="9"/>
      <c r="H1052" s="36">
        <v>40</v>
      </c>
      <c r="I1052" s="34"/>
      <c r="J1052" s="38"/>
    </row>
    <row r="1053" spans="1:10">
      <c r="A1053" s="32">
        <f t="shared" si="8"/>
        <v>1052</v>
      </c>
      <c r="B1053" s="33">
        <v>45250</v>
      </c>
      <c r="C1053" s="9">
        <v>2833</v>
      </c>
      <c r="D1053" s="9" t="s">
        <v>956</v>
      </c>
      <c r="E1053" s="34">
        <v>25</v>
      </c>
      <c r="F1053" s="35">
        <f>IFERROR(LOOKUP(E1053,CODIGOS!A:A,CODIGOS!B:B)," ")</f>
        <v>0</v>
      </c>
      <c r="G1053" s="9"/>
      <c r="H1053" s="36">
        <v>40</v>
      </c>
      <c r="I1053" s="34"/>
      <c r="J1053" s="38"/>
    </row>
    <row r="1054" spans="1:10">
      <c r="A1054" s="32">
        <f t="shared" si="8"/>
        <v>1053</v>
      </c>
      <c r="B1054" s="33">
        <v>45250</v>
      </c>
      <c r="C1054" s="9">
        <v>2836</v>
      </c>
      <c r="D1054" s="9" t="s">
        <v>957</v>
      </c>
      <c r="E1054" s="34">
        <v>25</v>
      </c>
      <c r="F1054" s="35">
        <f>IFERROR(LOOKUP(E1054,CODIGOS!A:A,CODIGOS!B:B)," ")</f>
        <v>0</v>
      </c>
      <c r="G1054" s="9"/>
      <c r="H1054" s="36">
        <v>40</v>
      </c>
      <c r="I1054" s="34"/>
      <c r="J1054" s="38"/>
    </row>
    <row r="1055" spans="1:10">
      <c r="A1055" s="32">
        <f t="shared" si="8"/>
        <v>1054</v>
      </c>
      <c r="B1055" s="33">
        <v>45250</v>
      </c>
      <c r="C1055" s="9">
        <v>2834</v>
      </c>
      <c r="D1055" s="9" t="s">
        <v>958</v>
      </c>
      <c r="E1055" s="34">
        <v>21</v>
      </c>
      <c r="F1055" s="35">
        <f>IFERROR(LOOKUP(E1055,CODIGOS!A:A,CODIGOS!B:B)," ")</f>
        <v>0</v>
      </c>
      <c r="G1055" s="9"/>
      <c r="H1055" s="36">
        <v>5</v>
      </c>
      <c r="I1055" s="34"/>
      <c r="J1055" s="38"/>
    </row>
    <row r="1056" spans="1:10">
      <c r="A1056" s="32">
        <f t="shared" si="8"/>
        <v>1055</v>
      </c>
      <c r="B1056" s="33">
        <v>45250</v>
      </c>
      <c r="C1056" s="9">
        <v>2836</v>
      </c>
      <c r="D1056" s="9" t="s">
        <v>959</v>
      </c>
      <c r="E1056" s="34">
        <v>21</v>
      </c>
      <c r="F1056" s="35">
        <f>IFERROR(LOOKUP(E1056,CODIGOS!A:A,CODIGOS!B:B)," ")</f>
        <v>0</v>
      </c>
      <c r="G1056" s="9"/>
      <c r="H1056" s="36">
        <v>5</v>
      </c>
      <c r="I1056" s="34"/>
      <c r="J1056" s="38"/>
    </row>
    <row r="1057" spans="1:10">
      <c r="A1057" s="32">
        <f t="shared" si="8"/>
        <v>1056</v>
      </c>
      <c r="B1057" s="33">
        <v>45250</v>
      </c>
      <c r="C1057" s="9">
        <v>2835</v>
      </c>
      <c r="D1057" s="9" t="s">
        <v>957</v>
      </c>
      <c r="E1057" s="34">
        <v>21</v>
      </c>
      <c r="F1057" s="35">
        <f>IFERROR(LOOKUP(E1057,CODIGOS!A:A,CODIGOS!B:B)," ")</f>
        <v>0</v>
      </c>
      <c r="G1057" s="9"/>
      <c r="H1057" s="36">
        <v>5</v>
      </c>
      <c r="I1057" s="34"/>
      <c r="J1057" s="38"/>
    </row>
    <row r="1058" spans="1:10">
      <c r="A1058" s="32">
        <f t="shared" si="8"/>
        <v>1057</v>
      </c>
      <c r="B1058" s="33">
        <v>45250</v>
      </c>
      <c r="C1058" s="9">
        <v>2833</v>
      </c>
      <c r="D1058" s="9" t="s">
        <v>956</v>
      </c>
      <c r="E1058" s="34">
        <v>21</v>
      </c>
      <c r="F1058" s="35">
        <f>IFERROR(LOOKUP(E1058,CODIGOS!A:A,CODIGOS!B:B)," ")</f>
        <v>0</v>
      </c>
      <c r="G1058" s="9"/>
      <c r="H1058" s="36">
        <v>5</v>
      </c>
      <c r="I1058" s="34"/>
      <c r="J1058" s="38"/>
    </row>
    <row r="1059" spans="1:10">
      <c r="A1059" s="32">
        <f t="shared" si="8"/>
        <v>1058</v>
      </c>
      <c r="B1059" s="33">
        <v>45251</v>
      </c>
      <c r="C1059" s="9">
        <v>2789</v>
      </c>
      <c r="D1059" s="9" t="s">
        <v>960</v>
      </c>
      <c r="E1059" s="34">
        <v>25</v>
      </c>
      <c r="F1059" s="35">
        <f>IFERROR(LOOKUP(E1059,CODIGOS!A:A,CODIGOS!B:B)," ")</f>
        <v>0</v>
      </c>
      <c r="G1059" s="9"/>
      <c r="H1059" s="36">
        <v>40</v>
      </c>
      <c r="I1059" s="34"/>
      <c r="J1059" s="38"/>
    </row>
    <row r="1060" spans="1:10">
      <c r="A1060" s="32">
        <f t="shared" si="8"/>
        <v>1059</v>
      </c>
      <c r="B1060" s="33">
        <v>45251</v>
      </c>
      <c r="C1060" s="9">
        <v>2789</v>
      </c>
      <c r="D1060" s="9" t="s">
        <v>960</v>
      </c>
      <c r="E1060" s="34">
        <v>26</v>
      </c>
      <c r="F1060" s="35">
        <f>IFERROR(LOOKUP(E1060,CODIGOS!A:A,CODIGOS!B:B)," ")</f>
        <v>0</v>
      </c>
      <c r="G1060" s="9"/>
      <c r="H1060" s="36">
        <v>10</v>
      </c>
      <c r="I1060" s="34"/>
      <c r="J1060" s="38"/>
    </row>
    <row r="1061" spans="1:10">
      <c r="A1061" s="32">
        <f t="shared" si="8"/>
        <v>1060</v>
      </c>
      <c r="B1061" s="33">
        <v>45251</v>
      </c>
      <c r="C1061" s="9">
        <v>2851</v>
      </c>
      <c r="D1061" s="9" t="s">
        <v>961</v>
      </c>
      <c r="E1061" s="34">
        <v>25</v>
      </c>
      <c r="F1061" s="35">
        <f>IFERROR(LOOKUP(E1061,CODIGOS!A:A,CODIGOS!B:B)," ")</f>
        <v>0</v>
      </c>
      <c r="G1061" s="9"/>
      <c r="H1061" s="36">
        <v>40</v>
      </c>
      <c r="I1061" s="34"/>
      <c r="J1061" s="38"/>
    </row>
    <row r="1062" spans="1:10">
      <c r="A1062" s="32">
        <f t="shared" si="8"/>
        <v>1061</v>
      </c>
      <c r="B1062" s="33">
        <v>45251</v>
      </c>
      <c r="C1062" s="9">
        <v>2840</v>
      </c>
      <c r="D1062" s="9" t="s">
        <v>962</v>
      </c>
      <c r="E1062" s="34">
        <v>25</v>
      </c>
      <c r="F1062" s="35">
        <f>IFERROR(LOOKUP(E1062,CODIGOS!A:A,CODIGOS!B:B)," ")</f>
        <v>0</v>
      </c>
      <c r="G1062" s="9"/>
      <c r="H1062" s="36">
        <v>40</v>
      </c>
      <c r="I1062" s="34"/>
      <c r="J1062" s="38"/>
    </row>
    <row r="1063" spans="1:10">
      <c r="A1063" s="32">
        <f t="shared" si="8"/>
        <v>1062</v>
      </c>
      <c r="B1063" s="33">
        <v>45251</v>
      </c>
      <c r="C1063" s="9">
        <v>2588</v>
      </c>
      <c r="D1063" s="9" t="s">
        <v>963</v>
      </c>
      <c r="E1063" s="34">
        <v>25</v>
      </c>
      <c r="F1063" s="35">
        <f>IFERROR(LOOKUP(E1063,CODIGOS!A:A,CODIGOS!B:B)," ")</f>
        <v>0</v>
      </c>
      <c r="G1063" s="9"/>
      <c r="H1063" s="36">
        <v>40</v>
      </c>
      <c r="I1063" s="34"/>
      <c r="J1063" s="38"/>
    </row>
    <row r="1064" spans="1:10">
      <c r="A1064" s="32">
        <f t="shared" si="8"/>
        <v>1063</v>
      </c>
      <c r="B1064" s="33">
        <v>45251</v>
      </c>
      <c r="C1064" s="9" t="s">
        <v>108</v>
      </c>
      <c r="D1064" s="9" t="s">
        <v>964</v>
      </c>
      <c r="E1064" s="34">
        <v>25</v>
      </c>
      <c r="F1064" s="35">
        <f>IFERROR(LOOKUP(E1064,CODIGOS!A:A,CODIGOS!B:B)," ")</f>
        <v>0</v>
      </c>
      <c r="G1064" s="9"/>
      <c r="H1064" s="36">
        <v>40</v>
      </c>
      <c r="I1064" s="34"/>
      <c r="J1064" s="38"/>
    </row>
    <row r="1065" spans="1:10">
      <c r="A1065" s="32">
        <f t="shared" si="8"/>
        <v>1064</v>
      </c>
      <c r="B1065" s="33">
        <v>45251</v>
      </c>
      <c r="C1065" s="9" t="s">
        <v>108</v>
      </c>
      <c r="D1065" s="9" t="s">
        <v>964</v>
      </c>
      <c r="E1065" s="34">
        <v>26</v>
      </c>
      <c r="F1065" s="35">
        <f>IFERROR(LOOKUP(E1065,CODIGOS!A:A,CODIGOS!B:B)," ")</f>
        <v>0</v>
      </c>
      <c r="G1065" s="9"/>
      <c r="H1065" s="36">
        <v>10</v>
      </c>
      <c r="I1065" s="34"/>
      <c r="J1065" s="38"/>
    </row>
    <row r="1066" spans="1:10">
      <c r="A1066" s="32">
        <f t="shared" si="8"/>
        <v>1065</v>
      </c>
      <c r="B1066" s="33">
        <v>45251</v>
      </c>
      <c r="C1066" s="9">
        <v>2034</v>
      </c>
      <c r="D1066" s="9" t="s">
        <v>965</v>
      </c>
      <c r="E1066" s="34">
        <v>55</v>
      </c>
      <c r="F1066" s="35">
        <f>IFERROR(LOOKUP(E1066,CODIGOS!A:A,CODIGOS!B:B)," ")</f>
        <v>0</v>
      </c>
      <c r="G1066" s="9"/>
      <c r="H1066" s="36">
        <v>25</v>
      </c>
      <c r="I1066" s="34"/>
      <c r="J1066" s="38"/>
    </row>
    <row r="1067" spans="1:10">
      <c r="A1067" s="32">
        <f t="shared" si="8"/>
        <v>1066</v>
      </c>
      <c r="B1067" s="33">
        <v>45251</v>
      </c>
      <c r="C1067" s="9">
        <v>2034</v>
      </c>
      <c r="D1067" s="9" t="s">
        <v>965</v>
      </c>
      <c r="E1067" s="34">
        <v>26</v>
      </c>
      <c r="F1067" s="35">
        <f>IFERROR(LOOKUP(E1067,CODIGOS!A:A,CODIGOS!B:B)," ")</f>
        <v>0</v>
      </c>
      <c r="G1067" s="9"/>
      <c r="H1067" s="36">
        <v>10</v>
      </c>
      <c r="I1067" s="34"/>
      <c r="J1067" s="38"/>
    </row>
    <row r="1068" spans="1:10">
      <c r="A1068" s="32">
        <f t="shared" si="8"/>
        <v>1067</v>
      </c>
      <c r="B1068" s="33">
        <v>45251</v>
      </c>
      <c r="C1068" s="9">
        <v>2843</v>
      </c>
      <c r="D1068" s="9" t="s">
        <v>966</v>
      </c>
      <c r="E1068" s="34">
        <v>25</v>
      </c>
      <c r="F1068" s="35">
        <f>IFERROR(LOOKUP(E1068,CODIGOS!A:A,CODIGOS!B:B)," ")</f>
        <v>0</v>
      </c>
      <c r="G1068" s="9"/>
      <c r="H1068" s="36">
        <v>40</v>
      </c>
      <c r="I1068" s="34"/>
      <c r="J1068" s="38"/>
    </row>
    <row r="1069" spans="1:10">
      <c r="A1069" s="32">
        <f t="shared" si="8"/>
        <v>1068</v>
      </c>
      <c r="B1069" s="33">
        <v>45251</v>
      </c>
      <c r="C1069" s="9">
        <v>2819</v>
      </c>
      <c r="D1069" s="9" t="s">
        <v>967</v>
      </c>
      <c r="E1069" s="34">
        <v>25</v>
      </c>
      <c r="F1069" s="35">
        <f>IFERROR(LOOKUP(E1069,CODIGOS!A:A,CODIGOS!B:B)," ")</f>
        <v>0</v>
      </c>
      <c r="G1069" s="9"/>
      <c r="H1069" s="36">
        <v>40</v>
      </c>
      <c r="I1069" s="34"/>
      <c r="J1069" s="38"/>
    </row>
    <row r="1070" spans="1:10">
      <c r="A1070" s="32">
        <f t="shared" si="8"/>
        <v>1069</v>
      </c>
      <c r="B1070" s="33">
        <v>45251</v>
      </c>
      <c r="C1070" s="9">
        <v>2034</v>
      </c>
      <c r="D1070" s="9" t="s">
        <v>965</v>
      </c>
      <c r="E1070" s="34">
        <v>25</v>
      </c>
      <c r="F1070" s="35">
        <f>IFERROR(LOOKUP(E1070,CODIGOS!A:A,CODIGOS!B:B)," ")</f>
        <v>0</v>
      </c>
      <c r="G1070" s="9"/>
      <c r="H1070" s="36">
        <v>40</v>
      </c>
      <c r="I1070" s="34"/>
      <c r="J1070" s="38"/>
    </row>
    <row r="1071" spans="1:10">
      <c r="A1071" s="32">
        <f t="shared" ref="A1071:A1134" si="9">IF(B1071&lt;&gt;0,A1070+1," ")</f>
        <v>1070</v>
      </c>
      <c r="B1071" s="33">
        <v>45251</v>
      </c>
      <c r="C1071" s="9">
        <v>2365</v>
      </c>
      <c r="D1071" s="9" t="s">
        <v>968</v>
      </c>
      <c r="E1071" s="34">
        <v>21</v>
      </c>
      <c r="F1071" s="35">
        <f>IFERROR(LOOKUP(E1071,CODIGOS!A:A,CODIGOS!B:B)," ")</f>
        <v>0</v>
      </c>
      <c r="G1071" s="9"/>
      <c r="H1071" s="36">
        <v>5</v>
      </c>
      <c r="I1071" s="34"/>
      <c r="J1071" s="38"/>
    </row>
    <row r="1072" spans="1:10">
      <c r="A1072" s="32">
        <f t="shared" si="9"/>
        <v>1071</v>
      </c>
      <c r="B1072" s="33">
        <v>45252</v>
      </c>
      <c r="C1072" s="9">
        <v>2761</v>
      </c>
      <c r="D1072" s="9" t="s">
        <v>969</v>
      </c>
      <c r="E1072" s="34">
        <v>21</v>
      </c>
      <c r="F1072" s="35">
        <f>IFERROR(LOOKUP(E1072,CODIGOS!A:A,CODIGOS!B:B)," ")</f>
        <v>0</v>
      </c>
      <c r="G1072" s="9"/>
      <c r="H1072" s="36">
        <v>5</v>
      </c>
      <c r="I1072" s="34"/>
      <c r="J1072" s="38"/>
    </row>
    <row r="1073" spans="1:10">
      <c r="A1073" s="32">
        <f t="shared" si="9"/>
        <v>1072</v>
      </c>
      <c r="B1073" s="33" t="s">
        <v>970</v>
      </c>
      <c r="C1073" s="9">
        <v>2875</v>
      </c>
      <c r="D1073" s="9" t="s">
        <v>971</v>
      </c>
      <c r="E1073" s="34">
        <v>25</v>
      </c>
      <c r="F1073" s="35">
        <f>IFERROR(LOOKUP(E1073,CODIGOS!A:A,CODIGOS!B:B)," ")</f>
        <v>0</v>
      </c>
      <c r="G1073" s="9"/>
      <c r="H1073" s="36">
        <v>40</v>
      </c>
      <c r="I1073" s="34"/>
      <c r="J1073" s="38"/>
    </row>
    <row r="1074" spans="1:10">
      <c r="A1074" s="32">
        <f t="shared" si="9"/>
        <v>1073</v>
      </c>
      <c r="B1074" s="33">
        <v>45252</v>
      </c>
      <c r="C1074" s="9">
        <v>2831</v>
      </c>
      <c r="D1074" s="9" t="s">
        <v>972</v>
      </c>
      <c r="E1074" s="34">
        <v>25</v>
      </c>
      <c r="F1074" s="35">
        <f>IFERROR(LOOKUP(E1074,CODIGOS!A:A,CODIGOS!B:B)," ")</f>
        <v>0</v>
      </c>
      <c r="G1074" s="9"/>
      <c r="H1074" s="36">
        <v>40</v>
      </c>
      <c r="I1074" s="34"/>
      <c r="J1074" s="38"/>
    </row>
    <row r="1075" spans="1:10">
      <c r="A1075" s="32">
        <f t="shared" si="9"/>
        <v>1074</v>
      </c>
      <c r="B1075" s="33">
        <v>45252</v>
      </c>
      <c r="C1075" s="9">
        <v>2784</v>
      </c>
      <c r="D1075" s="9" t="s">
        <v>973</v>
      </c>
      <c r="E1075" s="34">
        <v>25</v>
      </c>
      <c r="F1075" s="35">
        <f>IFERROR(LOOKUP(E1075,CODIGOS!A:A,CODIGOS!B:B)," ")</f>
        <v>0</v>
      </c>
      <c r="G1075" s="9"/>
      <c r="H1075" s="36">
        <v>40</v>
      </c>
      <c r="I1075" s="34"/>
      <c r="J1075" s="38"/>
    </row>
    <row r="1076" spans="1:10">
      <c r="A1076" s="32">
        <f t="shared" si="9"/>
        <v>1075</v>
      </c>
      <c r="B1076" s="33">
        <v>45252</v>
      </c>
      <c r="C1076" s="9">
        <v>2790</v>
      </c>
      <c r="D1076" s="9" t="s">
        <v>305</v>
      </c>
      <c r="E1076" s="34">
        <v>25</v>
      </c>
      <c r="F1076" s="35">
        <f>IFERROR(LOOKUP(E1076,CODIGOS!A:A,CODIGOS!B:B)," ")</f>
        <v>0</v>
      </c>
      <c r="G1076" s="9"/>
      <c r="H1076" s="36">
        <v>40</v>
      </c>
      <c r="I1076" s="34"/>
      <c r="J1076" s="38"/>
    </row>
    <row r="1077" spans="1:10">
      <c r="A1077" s="32">
        <f t="shared" si="9"/>
        <v>1076</v>
      </c>
      <c r="B1077" s="33">
        <v>45252</v>
      </c>
      <c r="C1077" s="9">
        <v>2791</v>
      </c>
      <c r="D1077" s="9" t="s">
        <v>974</v>
      </c>
      <c r="E1077" s="34">
        <v>25</v>
      </c>
      <c r="F1077" s="35">
        <f>IFERROR(LOOKUP(E1077,CODIGOS!A:A,CODIGOS!B:B)," ")</f>
        <v>0</v>
      </c>
      <c r="G1077" s="9"/>
      <c r="H1077" s="36">
        <v>40</v>
      </c>
      <c r="I1077" s="34"/>
      <c r="J1077" s="38"/>
    </row>
    <row r="1078" spans="1:10">
      <c r="A1078" s="32">
        <f t="shared" si="9"/>
        <v>1077</v>
      </c>
      <c r="B1078" s="33">
        <v>45252</v>
      </c>
      <c r="C1078" s="9" t="s">
        <v>975</v>
      </c>
      <c r="D1078" s="9" t="s">
        <v>976</v>
      </c>
      <c r="E1078" s="34">
        <v>25</v>
      </c>
      <c r="F1078" s="35">
        <f>IFERROR(LOOKUP(E1078,CODIGOS!A:A,CODIGOS!B:B)," ")</f>
        <v>0</v>
      </c>
      <c r="G1078" s="9"/>
      <c r="H1078" s="36">
        <v>50</v>
      </c>
      <c r="I1078" s="34"/>
      <c r="J1078" s="38"/>
    </row>
    <row r="1079" spans="1:10">
      <c r="A1079" s="32">
        <f t="shared" si="9"/>
        <v>1078</v>
      </c>
      <c r="B1079" s="33">
        <v>45252</v>
      </c>
      <c r="C1079" s="9" t="s">
        <v>977</v>
      </c>
      <c r="D1079" s="9" t="s">
        <v>978</v>
      </c>
      <c r="E1079" s="34">
        <v>25</v>
      </c>
      <c r="F1079" s="35">
        <f>IFERROR(LOOKUP(E1079,CODIGOS!A:A,CODIGOS!B:B)," ")</f>
        <v>0</v>
      </c>
      <c r="G1079" s="9"/>
      <c r="H1079" s="36">
        <v>50</v>
      </c>
      <c r="I1079" s="34"/>
      <c r="J1079" s="38"/>
    </row>
    <row r="1080" spans="1:10">
      <c r="A1080" s="32">
        <f t="shared" si="9"/>
        <v>1079</v>
      </c>
      <c r="B1080" s="33">
        <v>45252</v>
      </c>
      <c r="C1080" s="9" t="s">
        <v>979</v>
      </c>
      <c r="D1080" s="9" t="s">
        <v>980</v>
      </c>
      <c r="E1080" s="34">
        <v>25</v>
      </c>
      <c r="F1080" s="35">
        <f>IFERROR(LOOKUP(E1080,CODIGOS!A:A,CODIGOS!B:B)," ")</f>
        <v>0</v>
      </c>
      <c r="G1080" s="9"/>
      <c r="H1080" s="36">
        <v>50</v>
      </c>
      <c r="I1080" s="34"/>
      <c r="J1080" s="38"/>
    </row>
    <row r="1081" spans="1:10">
      <c r="A1081" s="32">
        <f t="shared" si="9"/>
        <v>1080</v>
      </c>
      <c r="B1081" s="33">
        <v>45252</v>
      </c>
      <c r="C1081" s="9" t="s">
        <v>981</v>
      </c>
      <c r="D1081" s="9" t="s">
        <v>982</v>
      </c>
      <c r="E1081" s="34">
        <v>25</v>
      </c>
      <c r="F1081" s="35">
        <f>IFERROR(LOOKUP(E1081,CODIGOS!A:A,CODIGOS!B:B)," ")</f>
        <v>0</v>
      </c>
      <c r="G1081" s="9"/>
      <c r="H1081" s="36">
        <v>50</v>
      </c>
      <c r="I1081" s="34"/>
      <c r="J1081" s="38"/>
    </row>
    <row r="1082" spans="1:10">
      <c r="A1082" s="32">
        <f t="shared" si="9"/>
        <v>1081</v>
      </c>
      <c r="B1082" s="33">
        <v>45252</v>
      </c>
      <c r="C1082" s="9">
        <v>949</v>
      </c>
      <c r="D1082" s="9" t="s">
        <v>983</v>
      </c>
      <c r="E1082" s="34">
        <v>25</v>
      </c>
      <c r="F1082" s="35">
        <f>IFERROR(LOOKUP(E1082,CODIGOS!A:A,CODIGOS!B:B)," ")</f>
        <v>0</v>
      </c>
      <c r="G1082" s="9"/>
      <c r="H1082" s="36">
        <v>40</v>
      </c>
      <c r="I1082" s="34"/>
      <c r="J1082" s="38"/>
    </row>
    <row r="1083" spans="1:10">
      <c r="A1083" s="32">
        <f t="shared" si="9"/>
        <v>1082</v>
      </c>
      <c r="B1083" s="33">
        <v>45252</v>
      </c>
      <c r="C1083" s="9">
        <v>1971</v>
      </c>
      <c r="D1083" s="9" t="s">
        <v>310</v>
      </c>
      <c r="E1083" s="34">
        <v>25</v>
      </c>
      <c r="F1083" s="35">
        <f>IFERROR(LOOKUP(E1083,CODIGOS!A:A,CODIGOS!B:B)," ")</f>
        <v>0</v>
      </c>
      <c r="G1083" s="9"/>
      <c r="H1083" s="36">
        <v>40</v>
      </c>
      <c r="I1083" s="34"/>
      <c r="J1083" s="38"/>
    </row>
    <row r="1084" spans="1:10">
      <c r="A1084" s="32">
        <f t="shared" si="9"/>
        <v>1083</v>
      </c>
      <c r="B1084" s="33">
        <v>45252</v>
      </c>
      <c r="C1084" s="9" t="s">
        <v>311</v>
      </c>
      <c r="D1084" s="9" t="s">
        <v>312</v>
      </c>
      <c r="E1084" s="34">
        <v>25</v>
      </c>
      <c r="F1084" s="35">
        <f>IFERROR(LOOKUP(E1084,CODIGOS!A:A,CODIGOS!B:B)," ")</f>
        <v>0</v>
      </c>
      <c r="G1084" s="9"/>
      <c r="H1084" s="36">
        <v>50</v>
      </c>
      <c r="I1084" s="34"/>
      <c r="J1084" s="38"/>
    </row>
    <row r="1085" spans="1:10">
      <c r="A1085" s="32">
        <f t="shared" si="9"/>
        <v>1084</v>
      </c>
      <c r="B1085" s="33">
        <v>45252</v>
      </c>
      <c r="C1085" s="9">
        <v>2048</v>
      </c>
      <c r="D1085" s="9" t="s">
        <v>984</v>
      </c>
      <c r="E1085" s="34">
        <v>25</v>
      </c>
      <c r="F1085" s="35">
        <f>IFERROR(LOOKUP(E1085,CODIGOS!A:A,CODIGOS!B:B)," ")</f>
        <v>0</v>
      </c>
      <c r="G1085" s="9"/>
      <c r="H1085" s="36">
        <v>40</v>
      </c>
      <c r="I1085" s="34"/>
      <c r="J1085" s="38"/>
    </row>
    <row r="1086" spans="1:10">
      <c r="A1086" s="32">
        <f t="shared" si="9"/>
        <v>1085</v>
      </c>
      <c r="B1086" s="33">
        <v>45252</v>
      </c>
      <c r="C1086" s="9" t="s">
        <v>308</v>
      </c>
      <c r="D1086" s="9" t="s">
        <v>309</v>
      </c>
      <c r="E1086" s="34">
        <v>25</v>
      </c>
      <c r="F1086" s="35">
        <f>IFERROR(LOOKUP(E1086,CODIGOS!A:A,CODIGOS!B:B)," ")</f>
        <v>0</v>
      </c>
      <c r="G1086" s="9"/>
      <c r="H1086" s="36">
        <v>50</v>
      </c>
      <c r="I1086" s="34"/>
      <c r="J1086" s="38"/>
    </row>
    <row r="1087" spans="1:10">
      <c r="A1087" s="32">
        <f t="shared" si="9"/>
        <v>1086</v>
      </c>
      <c r="B1087" s="33">
        <v>45257</v>
      </c>
      <c r="C1087" s="9">
        <v>2500</v>
      </c>
      <c r="D1087" s="9" t="s">
        <v>985</v>
      </c>
      <c r="E1087" s="34">
        <v>21</v>
      </c>
      <c r="F1087" s="35">
        <f>IFERROR(LOOKUP(E1087,CODIGOS!A:A,CODIGOS!B:B)," ")</f>
        <v>0</v>
      </c>
      <c r="G1087" s="9"/>
      <c r="H1087" s="36">
        <v>5</v>
      </c>
      <c r="I1087" s="34"/>
      <c r="J1087" s="38"/>
    </row>
    <row r="1088" spans="1:10">
      <c r="A1088" s="32">
        <f t="shared" si="9"/>
        <v>1087</v>
      </c>
      <c r="B1088" s="33">
        <v>45257</v>
      </c>
      <c r="C1088" s="9">
        <v>2663</v>
      </c>
      <c r="D1088" s="9" t="s">
        <v>778</v>
      </c>
      <c r="E1088" s="34">
        <v>25</v>
      </c>
      <c r="F1088" s="35">
        <f>IFERROR(LOOKUP(E1088,CODIGOS!A:A,CODIGOS!B:B)," ")</f>
        <v>0</v>
      </c>
      <c r="G1088" s="9"/>
      <c r="H1088" s="36">
        <v>40</v>
      </c>
      <c r="I1088" s="34"/>
      <c r="J1088" s="38"/>
    </row>
    <row r="1089" spans="1:10">
      <c r="A1089" s="32">
        <f t="shared" si="9"/>
        <v>1088</v>
      </c>
      <c r="B1089" s="33">
        <v>45257</v>
      </c>
      <c r="C1089" s="9">
        <v>2805</v>
      </c>
      <c r="D1089" s="9" t="s">
        <v>986</v>
      </c>
      <c r="E1089" s="34">
        <v>25</v>
      </c>
      <c r="F1089" s="35">
        <f>IFERROR(LOOKUP(E1089,CODIGOS!A:A,CODIGOS!B:B)," ")</f>
        <v>0</v>
      </c>
      <c r="G1089" s="9"/>
      <c r="H1089" s="36">
        <v>40</v>
      </c>
      <c r="I1089" s="34"/>
      <c r="J1089" s="38"/>
    </row>
    <row r="1090" spans="1:10">
      <c r="A1090" s="32">
        <f t="shared" si="9"/>
        <v>1089</v>
      </c>
      <c r="B1090" s="33">
        <v>45257</v>
      </c>
      <c r="C1090" s="9">
        <v>2851</v>
      </c>
      <c r="D1090" s="9" t="s">
        <v>987</v>
      </c>
      <c r="E1090" s="34">
        <v>22</v>
      </c>
      <c r="F1090" s="35">
        <f>IFERROR(LOOKUP(E1090,CODIGOS!A:A,CODIGOS!B:B)," ")</f>
        <v>0</v>
      </c>
      <c r="G1090" s="9"/>
      <c r="H1090" s="36">
        <v>-16</v>
      </c>
      <c r="I1090" s="34"/>
      <c r="J1090" s="38"/>
    </row>
    <row r="1091" spans="1:10">
      <c r="A1091" s="32">
        <f t="shared" si="9"/>
        <v>1090</v>
      </c>
      <c r="B1091" s="33">
        <v>45257</v>
      </c>
      <c r="C1091" s="9">
        <v>1945</v>
      </c>
      <c r="D1091" s="9" t="s">
        <v>922</v>
      </c>
      <c r="E1091" s="34">
        <v>26</v>
      </c>
      <c r="F1091" s="35">
        <f>IFERROR(LOOKUP(E1091,CODIGOS!A:A,CODIGOS!B:B)," ")</f>
        <v>0</v>
      </c>
      <c r="G1091" s="9"/>
      <c r="H1091" s="36">
        <v>10</v>
      </c>
      <c r="I1091" s="34"/>
      <c r="J1091" s="38"/>
    </row>
    <row r="1092" spans="1:10">
      <c r="A1092" s="32">
        <f t="shared" si="9"/>
        <v>1091</v>
      </c>
      <c r="B1092" s="33">
        <v>45257</v>
      </c>
      <c r="C1092" s="9">
        <v>1928</v>
      </c>
      <c r="D1092" s="9" t="s">
        <v>988</v>
      </c>
      <c r="E1092" s="34">
        <v>26</v>
      </c>
      <c r="F1092" s="35">
        <f>IFERROR(LOOKUP(E1092,CODIGOS!A:A,CODIGOS!B:B)," ")</f>
        <v>0</v>
      </c>
      <c r="G1092" s="9"/>
      <c r="H1092" s="36">
        <v>10</v>
      </c>
      <c r="I1092" s="34"/>
      <c r="J1092" s="38"/>
    </row>
    <row r="1093" spans="1:10">
      <c r="A1093" s="32">
        <f t="shared" si="9"/>
        <v>1092</v>
      </c>
      <c r="B1093" s="33">
        <v>45257</v>
      </c>
      <c r="C1093" s="9">
        <v>1823</v>
      </c>
      <c r="D1093" s="9" t="s">
        <v>836</v>
      </c>
      <c r="E1093" s="34">
        <v>26</v>
      </c>
      <c r="F1093" s="35">
        <f>IFERROR(LOOKUP(E1093,CODIGOS!A:A,CODIGOS!B:B)," ")</f>
        <v>0</v>
      </c>
      <c r="G1093" s="9"/>
      <c r="H1093" s="36">
        <v>10</v>
      </c>
      <c r="I1093" s="34"/>
      <c r="J1093" s="38"/>
    </row>
    <row r="1094" spans="1:10">
      <c r="A1094" s="32">
        <f t="shared" si="9"/>
        <v>1093</v>
      </c>
      <c r="B1094" s="33">
        <v>45257</v>
      </c>
      <c r="C1094" s="9">
        <v>2418</v>
      </c>
      <c r="D1094" s="9" t="s">
        <v>989</v>
      </c>
      <c r="E1094" s="34">
        <v>25</v>
      </c>
      <c r="F1094" s="35">
        <f>IFERROR(LOOKUP(E1094,CODIGOS!A:A,CODIGOS!B:B)," ")</f>
        <v>0</v>
      </c>
      <c r="G1094" s="9"/>
      <c r="H1094" s="36">
        <v>40</v>
      </c>
      <c r="I1094" s="34"/>
      <c r="J1094" s="38"/>
    </row>
    <row r="1095" spans="1:10">
      <c r="A1095" s="32">
        <f t="shared" si="9"/>
        <v>1094</v>
      </c>
      <c r="B1095" s="33">
        <v>45257</v>
      </c>
      <c r="C1095" s="9">
        <v>2772</v>
      </c>
      <c r="D1095" s="9" t="s">
        <v>990</v>
      </c>
      <c r="E1095" s="34">
        <v>25</v>
      </c>
      <c r="F1095" s="35">
        <f>IFERROR(LOOKUP(E1095,CODIGOS!A:A,CODIGOS!B:B)," ")</f>
        <v>0</v>
      </c>
      <c r="G1095" s="9"/>
      <c r="H1095" s="36">
        <v>40</v>
      </c>
      <c r="I1095" s="34"/>
      <c r="J1095" s="38"/>
    </row>
    <row r="1096" spans="1:10">
      <c r="A1096" s="32">
        <f t="shared" si="9"/>
        <v>1095</v>
      </c>
      <c r="B1096" s="33">
        <v>45257</v>
      </c>
      <c r="C1096" s="9">
        <v>2374</v>
      </c>
      <c r="D1096" s="9" t="s">
        <v>98</v>
      </c>
      <c r="E1096" s="34">
        <v>25</v>
      </c>
      <c r="F1096" s="35">
        <f>IFERROR(LOOKUP(E1096,CODIGOS!A:A,CODIGOS!B:B)," ")</f>
        <v>0</v>
      </c>
      <c r="G1096" s="9"/>
      <c r="H1096" s="36">
        <v>40</v>
      </c>
      <c r="I1096" s="34"/>
      <c r="J1096" s="38"/>
    </row>
    <row r="1097" spans="1:10">
      <c r="A1097" s="32">
        <f t="shared" si="9"/>
        <v>1096</v>
      </c>
      <c r="B1097" s="33">
        <v>45257</v>
      </c>
      <c r="C1097" s="9">
        <v>2403</v>
      </c>
      <c r="D1097" s="9" t="s">
        <v>97</v>
      </c>
      <c r="E1097" s="34">
        <v>25</v>
      </c>
      <c r="F1097" s="35">
        <f>IFERROR(LOOKUP(E1097,CODIGOS!A:A,CODIGOS!B:B)," ")</f>
        <v>0</v>
      </c>
      <c r="G1097" s="9"/>
      <c r="H1097" s="36">
        <v>40</v>
      </c>
      <c r="I1097" s="34"/>
      <c r="J1097" s="38"/>
    </row>
    <row r="1098" spans="1:10">
      <c r="A1098" s="32">
        <f t="shared" si="9"/>
        <v>1097</v>
      </c>
      <c r="B1098" s="33">
        <v>45257</v>
      </c>
      <c r="C1098" s="9">
        <v>2163</v>
      </c>
      <c r="D1098" s="9" t="s">
        <v>725</v>
      </c>
      <c r="E1098" s="34">
        <v>25</v>
      </c>
      <c r="F1098" s="35">
        <f>IFERROR(LOOKUP(E1098,CODIGOS!A:A,CODIGOS!B:B)," ")</f>
        <v>0</v>
      </c>
      <c r="G1098" s="9"/>
      <c r="H1098" s="36">
        <v>40</v>
      </c>
      <c r="I1098" s="34"/>
      <c r="J1098" s="38"/>
    </row>
    <row r="1099" spans="1:10">
      <c r="A1099" s="32">
        <f t="shared" si="9"/>
        <v>1098</v>
      </c>
      <c r="B1099" s="33">
        <v>45257</v>
      </c>
      <c r="C1099" s="9">
        <v>2308</v>
      </c>
      <c r="D1099" s="9" t="s">
        <v>600</v>
      </c>
      <c r="E1099" s="34">
        <v>25</v>
      </c>
      <c r="F1099" s="35">
        <f>IFERROR(LOOKUP(E1099,CODIGOS!A:A,CODIGOS!B:B)," ")</f>
        <v>0</v>
      </c>
      <c r="G1099" s="9"/>
      <c r="H1099" s="36">
        <v>40</v>
      </c>
      <c r="I1099" s="34"/>
      <c r="J1099" s="38"/>
    </row>
    <row r="1100" spans="1:10">
      <c r="A1100" s="32">
        <f t="shared" si="9"/>
        <v>1099</v>
      </c>
      <c r="B1100" s="33">
        <v>45257</v>
      </c>
      <c r="C1100" s="9">
        <v>2782</v>
      </c>
      <c r="D1100" s="9" t="s">
        <v>991</v>
      </c>
      <c r="E1100" s="34">
        <v>25</v>
      </c>
      <c r="F1100" s="35">
        <f>IFERROR(LOOKUP(E1100,CODIGOS!A:A,CODIGOS!B:B)," ")</f>
        <v>0</v>
      </c>
      <c r="G1100" s="9"/>
      <c r="H1100" s="36">
        <v>40</v>
      </c>
      <c r="I1100" s="34"/>
      <c r="J1100" s="38"/>
    </row>
    <row r="1101" spans="1:10">
      <c r="A1101" s="32">
        <f t="shared" si="9"/>
        <v>1100</v>
      </c>
      <c r="B1101" s="33">
        <v>45257</v>
      </c>
      <c r="C1101" s="9">
        <v>2125</v>
      </c>
      <c r="D1101" s="9" t="s">
        <v>559</v>
      </c>
      <c r="E1101" s="34">
        <v>25</v>
      </c>
      <c r="F1101" s="35">
        <f>IFERROR(LOOKUP(E1101,CODIGOS!A:A,CODIGOS!B:B)," ")</f>
        <v>0</v>
      </c>
      <c r="G1101" s="9"/>
      <c r="H1101" s="36">
        <v>40</v>
      </c>
      <c r="I1101" s="34"/>
      <c r="J1101" s="38"/>
    </row>
    <row r="1102" spans="1:10">
      <c r="A1102" s="32">
        <f t="shared" si="9"/>
        <v>1101</v>
      </c>
      <c r="B1102" s="33">
        <v>45257</v>
      </c>
      <c r="C1102" s="9">
        <v>2125</v>
      </c>
      <c r="D1102" s="9" t="s">
        <v>559</v>
      </c>
      <c r="E1102" s="34">
        <v>26</v>
      </c>
      <c r="F1102" s="35">
        <f>IFERROR(LOOKUP(E1102,CODIGOS!A:A,CODIGOS!B:B)," ")</f>
        <v>0</v>
      </c>
      <c r="G1102" s="9"/>
      <c r="H1102" s="36">
        <v>10</v>
      </c>
      <c r="I1102" s="34"/>
      <c r="J1102" s="38"/>
    </row>
    <row r="1103" spans="1:10">
      <c r="A1103" s="32">
        <f t="shared" si="9"/>
        <v>1102</v>
      </c>
      <c r="B1103" s="33">
        <v>45258</v>
      </c>
      <c r="C1103" s="9">
        <v>2245</v>
      </c>
      <c r="D1103" s="9" t="s">
        <v>992</v>
      </c>
      <c r="E1103" s="34">
        <v>25</v>
      </c>
      <c r="F1103" s="35">
        <f>IFERROR(LOOKUP(E1103,CODIGOS!A:A,CODIGOS!B:B)," ")</f>
        <v>0</v>
      </c>
      <c r="G1103" s="9"/>
      <c r="H1103" s="36">
        <v>40</v>
      </c>
      <c r="I1103" s="34"/>
      <c r="J1103" s="38"/>
    </row>
    <row r="1104" spans="1:10">
      <c r="A1104" s="32">
        <f t="shared" si="9"/>
        <v>1103</v>
      </c>
      <c r="B1104" s="33">
        <v>45258</v>
      </c>
      <c r="C1104" s="9">
        <v>1856</v>
      </c>
      <c r="D1104" s="9" t="s">
        <v>993</v>
      </c>
      <c r="E1104" s="34">
        <v>25</v>
      </c>
      <c r="F1104" s="35">
        <f>IFERROR(LOOKUP(E1104,CODIGOS!A:A,CODIGOS!B:B)," ")</f>
        <v>0</v>
      </c>
      <c r="G1104" s="9"/>
      <c r="H1104" s="36">
        <v>40</v>
      </c>
      <c r="I1104" s="34"/>
      <c r="J1104" s="38"/>
    </row>
    <row r="1105" spans="1:10">
      <c r="A1105" s="32">
        <f t="shared" si="9"/>
        <v>1104</v>
      </c>
      <c r="B1105" s="33">
        <v>45258</v>
      </c>
      <c r="C1105" s="9">
        <v>2811</v>
      </c>
      <c r="D1105" s="9" t="s">
        <v>994</v>
      </c>
      <c r="E1105" s="34">
        <v>22</v>
      </c>
      <c r="F1105" s="35" t="s">
        <v>995</v>
      </c>
      <c r="G1105" s="9"/>
      <c r="H1105" s="36">
        <v>-16</v>
      </c>
      <c r="I1105" s="34"/>
      <c r="J1105" s="38"/>
    </row>
    <row r="1106" spans="1:10">
      <c r="A1106" s="32">
        <f t="shared" si="9"/>
        <v>1105</v>
      </c>
      <c r="B1106" s="33">
        <v>45258</v>
      </c>
      <c r="C1106" s="9">
        <v>2810</v>
      </c>
      <c r="D1106" s="9" t="s">
        <v>996</v>
      </c>
      <c r="E1106" s="34">
        <v>22</v>
      </c>
      <c r="F1106" s="35">
        <f>IFERROR(LOOKUP(E1106,CODIGOS!A:A,CODIGOS!B:B)," ")</f>
        <v>0</v>
      </c>
      <c r="G1106" s="9"/>
      <c r="H1106" s="36">
        <v>-16</v>
      </c>
      <c r="I1106" s="34"/>
      <c r="J1106" s="38"/>
    </row>
    <row r="1107" spans="1:10">
      <c r="A1107" s="32">
        <f t="shared" si="9"/>
        <v>1106</v>
      </c>
      <c r="B1107" s="33">
        <v>45258</v>
      </c>
      <c r="C1107" s="9">
        <v>2628</v>
      </c>
      <c r="D1107" s="9" t="s">
        <v>438</v>
      </c>
      <c r="E1107" s="34">
        <v>22</v>
      </c>
      <c r="F1107" s="35">
        <f>IFERROR(LOOKUP(E1107,CODIGOS!A:A,CODIGOS!B:B)," ")</f>
        <v>0</v>
      </c>
      <c r="G1107" s="9"/>
      <c r="H1107" s="36">
        <v>-16</v>
      </c>
      <c r="I1107" s="34"/>
      <c r="J1107" s="38"/>
    </row>
    <row r="1108" spans="1:10">
      <c r="A1108" s="32">
        <f t="shared" si="9"/>
        <v>1107</v>
      </c>
      <c r="B1108" s="33">
        <v>45258</v>
      </c>
      <c r="C1108" s="9">
        <v>2793</v>
      </c>
      <c r="D1108" s="9" t="s">
        <v>997</v>
      </c>
      <c r="E1108" s="34">
        <v>22</v>
      </c>
      <c r="F1108" s="35">
        <f>IFERROR(LOOKUP(E1108,CODIGOS!A:A,CODIGOS!B:B)," ")</f>
        <v>0</v>
      </c>
      <c r="G1108" s="9"/>
      <c r="H1108" s="36">
        <v>-16</v>
      </c>
      <c r="I1108" s="34"/>
      <c r="J1108" s="38"/>
    </row>
    <row r="1109" spans="1:10">
      <c r="A1109" s="32">
        <f t="shared" si="9"/>
        <v>1108</v>
      </c>
      <c r="B1109" s="33">
        <v>45258</v>
      </c>
      <c r="C1109" s="9">
        <v>2873</v>
      </c>
      <c r="D1109" s="9" t="s">
        <v>998</v>
      </c>
      <c r="E1109" s="34">
        <v>22</v>
      </c>
      <c r="F1109" s="35">
        <f>IFERROR(LOOKUP(E1109,CODIGOS!A:A,CODIGOS!B:B)," ")</f>
        <v>0</v>
      </c>
      <c r="G1109" s="9"/>
      <c r="H1109" s="36">
        <v>-16</v>
      </c>
      <c r="I1109" s="34"/>
      <c r="J1109" s="38"/>
    </row>
    <row r="1110" spans="1:10">
      <c r="A1110" s="32">
        <f t="shared" si="9"/>
        <v>1109</v>
      </c>
      <c r="B1110" s="33">
        <v>45258</v>
      </c>
      <c r="C1110" s="9">
        <v>2874</v>
      </c>
      <c r="D1110" s="9" t="s">
        <v>999</v>
      </c>
      <c r="E1110" s="34">
        <v>22</v>
      </c>
      <c r="F1110" s="35">
        <f>IFERROR(LOOKUP(E1110,CODIGOS!A:A,CODIGOS!B:B)," ")</f>
        <v>0</v>
      </c>
      <c r="G1110" s="9"/>
      <c r="H1110" s="36">
        <v>-16</v>
      </c>
      <c r="I1110" s="34"/>
      <c r="J1110" s="38"/>
    </row>
    <row r="1111" spans="1:10">
      <c r="A1111" s="32">
        <f t="shared" si="9"/>
        <v>1110</v>
      </c>
      <c r="B1111" s="33">
        <v>45259</v>
      </c>
      <c r="C1111" s="9">
        <v>2856</v>
      </c>
      <c r="D1111" s="9" t="s">
        <v>1000</v>
      </c>
      <c r="E1111" s="34">
        <v>21</v>
      </c>
      <c r="F1111" s="35">
        <f>IFERROR(LOOKUP(E1111,CODIGOS!A:A,CODIGOS!B:B)," ")</f>
        <v>0</v>
      </c>
      <c r="G1111" s="9"/>
      <c r="H1111" s="36">
        <v>5</v>
      </c>
      <c r="I1111" s="34"/>
      <c r="J1111" s="38"/>
    </row>
    <row r="1112" spans="1:10">
      <c r="A1112" s="32">
        <f t="shared" si="9"/>
        <v>1111</v>
      </c>
      <c r="B1112" s="33">
        <v>45259</v>
      </c>
      <c r="C1112" s="9">
        <v>2108</v>
      </c>
      <c r="D1112" s="9" t="s">
        <v>1001</v>
      </c>
      <c r="E1112" s="34">
        <v>21</v>
      </c>
      <c r="F1112" s="35">
        <f>IFERROR(LOOKUP(E1112,CODIGOS!A:A,CODIGOS!B:B)," ")</f>
        <v>0</v>
      </c>
      <c r="G1112" s="9"/>
      <c r="H1112" s="36">
        <v>5</v>
      </c>
      <c r="I1112" s="34"/>
      <c r="J1112" s="38"/>
    </row>
    <row r="1113" spans="1:10">
      <c r="A1113" s="32">
        <f t="shared" si="9"/>
        <v>1112</v>
      </c>
      <c r="B1113" s="33">
        <v>45259</v>
      </c>
      <c r="C1113" s="9">
        <v>2000</v>
      </c>
      <c r="D1113" s="9" t="s">
        <v>279</v>
      </c>
      <c r="E1113" s="34">
        <v>27</v>
      </c>
      <c r="F1113" s="35" t="s">
        <v>1002</v>
      </c>
      <c r="G1113" s="9"/>
      <c r="H1113" s="36">
        <v>5</v>
      </c>
      <c r="I1113" s="34"/>
      <c r="J1113" s="38"/>
    </row>
    <row r="1114" spans="1:10">
      <c r="A1114" s="32">
        <f t="shared" si="9"/>
        <v>1113</v>
      </c>
      <c r="B1114" s="33">
        <v>45259</v>
      </c>
      <c r="C1114" s="9">
        <v>2554</v>
      </c>
      <c r="D1114" s="9" t="s">
        <v>1003</v>
      </c>
      <c r="E1114" s="34">
        <v>25</v>
      </c>
      <c r="F1114" s="35">
        <f>IFERROR(LOOKUP(E1114,CODIGOS!A:A,CODIGOS!B:B)," ")</f>
        <v>0</v>
      </c>
      <c r="G1114" s="9"/>
      <c r="H1114" s="36">
        <v>40</v>
      </c>
      <c r="I1114" s="34"/>
      <c r="J1114" s="38"/>
    </row>
    <row r="1115" spans="1:10">
      <c r="A1115" s="32">
        <f t="shared" si="9"/>
        <v>1114</v>
      </c>
      <c r="B1115" s="33">
        <v>45259</v>
      </c>
      <c r="C1115" s="9">
        <v>2554</v>
      </c>
      <c r="D1115" s="9" t="s">
        <v>1003</v>
      </c>
      <c r="E1115" s="34">
        <v>26</v>
      </c>
      <c r="F1115" s="35">
        <f>IFERROR(LOOKUP(E1115,CODIGOS!A:A,CODIGOS!B:B)," ")</f>
        <v>0</v>
      </c>
      <c r="G1115" s="9" t="s">
        <v>1004</v>
      </c>
      <c r="H1115" s="36">
        <v>-10</v>
      </c>
      <c r="I1115" s="34"/>
      <c r="J1115" s="38"/>
    </row>
    <row r="1116" spans="1:10">
      <c r="A1116" s="32">
        <f t="shared" si="9"/>
        <v>1115</v>
      </c>
      <c r="B1116" s="33">
        <v>45264</v>
      </c>
      <c r="C1116" s="55">
        <v>2131</v>
      </c>
      <c r="D1116" s="9" t="s">
        <v>30</v>
      </c>
      <c r="E1116" s="34">
        <v>25</v>
      </c>
      <c r="F1116" s="35">
        <f>IFERROR(LOOKUP(E1116,CODIGOS!A:A,CODIGOS!B:B)," ")</f>
        <v>0</v>
      </c>
      <c r="G1116" s="9"/>
      <c r="H1116" s="36">
        <v>40</v>
      </c>
      <c r="I1116" s="34"/>
      <c r="J1116" s="38"/>
    </row>
    <row r="1117" spans="1:10">
      <c r="A1117" s="32">
        <f t="shared" si="9"/>
        <v>1116</v>
      </c>
      <c r="B1117" s="33">
        <v>45264</v>
      </c>
      <c r="C1117" s="55" t="s">
        <v>31</v>
      </c>
      <c r="D1117" s="9" t="s">
        <v>1005</v>
      </c>
      <c r="E1117" s="34">
        <v>25</v>
      </c>
      <c r="F1117" s="35">
        <f>IFERROR(LOOKUP(E1117,CODIGOS!A:A,CODIGOS!B:B)," ")</f>
        <v>0</v>
      </c>
      <c r="G1117" s="9"/>
      <c r="H1117" s="36">
        <v>50</v>
      </c>
      <c r="I1117" s="34"/>
      <c r="J1117" s="38"/>
    </row>
    <row r="1118" spans="1:10">
      <c r="A1118" s="32">
        <f t="shared" si="9"/>
        <v>1117</v>
      </c>
      <c r="B1118" s="33">
        <v>45264</v>
      </c>
      <c r="C1118" s="55" t="s">
        <v>46</v>
      </c>
      <c r="D1118" s="9" t="s">
        <v>669</v>
      </c>
      <c r="E1118" s="34">
        <v>25</v>
      </c>
      <c r="F1118" s="35">
        <f>IFERROR(LOOKUP(E1118,CODIGOS!A:A,CODIGOS!B:B)," ")</f>
        <v>0</v>
      </c>
      <c r="G1118" s="9"/>
      <c r="H1118" s="36">
        <v>40</v>
      </c>
      <c r="I1118" s="34"/>
      <c r="J1118" s="38"/>
    </row>
    <row r="1119" spans="1:10">
      <c r="A1119" s="32">
        <f t="shared" si="9"/>
        <v>1118</v>
      </c>
      <c r="B1119" s="33">
        <v>45264</v>
      </c>
      <c r="C1119" s="55">
        <v>2498</v>
      </c>
      <c r="D1119" s="9" t="s">
        <v>1006</v>
      </c>
      <c r="E1119" s="34">
        <v>25</v>
      </c>
      <c r="F1119" s="35">
        <f>IFERROR(LOOKUP(E1119,CODIGOS!A:A,CODIGOS!B:B)," ")</f>
        <v>0</v>
      </c>
      <c r="G1119" s="9"/>
      <c r="H1119" s="36">
        <v>40</v>
      </c>
      <c r="I1119" s="34"/>
      <c r="J1119" s="38"/>
    </row>
    <row r="1120" spans="1:10">
      <c r="A1120" s="32">
        <f t="shared" si="9"/>
        <v>1119</v>
      </c>
      <c r="B1120" s="33">
        <v>45264</v>
      </c>
      <c r="C1120" s="55" t="s">
        <v>178</v>
      </c>
      <c r="D1120" s="9" t="s">
        <v>1007</v>
      </c>
      <c r="E1120" s="34">
        <v>25</v>
      </c>
      <c r="F1120" s="35">
        <f>IFERROR(LOOKUP(E1120,CODIGOS!A:A,CODIGOS!B:B)," ")</f>
        <v>0</v>
      </c>
      <c r="G1120" s="9"/>
      <c r="H1120" s="36">
        <v>50</v>
      </c>
      <c r="I1120" s="34"/>
      <c r="J1120" s="38"/>
    </row>
    <row r="1121" spans="1:10">
      <c r="A1121" s="32">
        <f t="shared" si="9"/>
        <v>1120</v>
      </c>
      <c r="B1121" s="33">
        <v>45271</v>
      </c>
      <c r="C1121" s="55">
        <v>2684</v>
      </c>
      <c r="D1121" s="9" t="s">
        <v>944</v>
      </c>
      <c r="E1121" s="34">
        <v>27</v>
      </c>
      <c r="F1121" s="35">
        <f>IFERROR(LOOKUP(E1121,CODIGOS!A:A,CODIGOS!B:B)," ")</f>
        <v>0</v>
      </c>
      <c r="G1121" s="35" t="str">
        <f>IFERROR(LOOKUP(F1121,CODIGOS!B:B,CODIGOS!C:C)," ")</f>
        <v xml:space="preserve"> </v>
      </c>
      <c r="H1121" s="36">
        <v>5</v>
      </c>
      <c r="J1121" s="34"/>
    </row>
    <row r="1122" spans="1:10">
      <c r="A1122" s="32">
        <f t="shared" si="9"/>
        <v>1121</v>
      </c>
      <c r="B1122" s="33">
        <v>45271</v>
      </c>
      <c r="C1122" s="55"/>
      <c r="D1122" s="9" t="s">
        <v>1008</v>
      </c>
      <c r="E1122" s="34">
        <v>25</v>
      </c>
      <c r="F1122" s="35">
        <f>IFERROR(LOOKUP(E1122,CODIGOS!A:A,CODIGOS!B:B)," ")</f>
        <v>0</v>
      </c>
      <c r="G1122" s="9"/>
      <c r="H1122" s="36">
        <v>40</v>
      </c>
      <c r="I1122" s="34"/>
      <c r="J1122" s="38"/>
    </row>
    <row r="1123" spans="1:10">
      <c r="A1123" s="32">
        <f t="shared" si="9"/>
        <v>1122</v>
      </c>
      <c r="B1123" s="33">
        <v>45271</v>
      </c>
      <c r="C1123" s="55">
        <v>2730</v>
      </c>
      <c r="D1123" s="9" t="s">
        <v>1009</v>
      </c>
      <c r="E1123" s="34">
        <v>25</v>
      </c>
      <c r="F1123" s="35">
        <f>IFERROR(LOOKUP(E1123,CODIGOS!A:A,CODIGOS!B:B)," ")</f>
        <v>0</v>
      </c>
      <c r="G1123" s="9"/>
      <c r="H1123" s="36">
        <v>40</v>
      </c>
      <c r="I1123" s="34"/>
      <c r="J1123" s="38"/>
    </row>
    <row r="1124" spans="1:10">
      <c r="A1124" s="32">
        <f t="shared" si="9"/>
        <v>1123</v>
      </c>
      <c r="B1124" s="33">
        <v>45271</v>
      </c>
      <c r="C1124" s="55" t="s">
        <v>324</v>
      </c>
      <c r="D1124" s="9" t="s">
        <v>1010</v>
      </c>
      <c r="E1124" s="34">
        <v>25</v>
      </c>
      <c r="F1124" s="35">
        <f>IFERROR(LOOKUP(E1124,CODIGOS!A:A,CODIGOS!B:B)," ")</f>
        <v>0</v>
      </c>
      <c r="G1124" s="9"/>
      <c r="H1124" s="36">
        <v>50</v>
      </c>
      <c r="I1124" s="34"/>
      <c r="J1124" s="38"/>
    </row>
    <row r="1125" spans="1:10">
      <c r="A1125" s="32">
        <f t="shared" si="9"/>
        <v>1124</v>
      </c>
      <c r="B1125" s="33">
        <v>45271</v>
      </c>
      <c r="C1125" s="55">
        <v>2436</v>
      </c>
      <c r="D1125" s="9" t="s">
        <v>1011</v>
      </c>
      <c r="E1125" s="34">
        <v>25</v>
      </c>
      <c r="F1125" s="35">
        <f>IFERROR(LOOKUP(E1125,CODIGOS!A:A,CODIGOS!B:B)," ")</f>
        <v>0</v>
      </c>
      <c r="G1125" s="9"/>
      <c r="H1125" s="36">
        <v>40</v>
      </c>
      <c r="I1125" s="34"/>
      <c r="J1125" s="38"/>
    </row>
    <row r="1126" spans="1:10">
      <c r="A1126" s="32">
        <f t="shared" si="9"/>
        <v>1125</v>
      </c>
      <c r="B1126" s="33">
        <v>45271</v>
      </c>
      <c r="C1126" s="55"/>
      <c r="D1126" s="9" t="s">
        <v>1012</v>
      </c>
      <c r="E1126" s="34">
        <v>25</v>
      </c>
      <c r="F1126" s="35">
        <f>IFERROR(LOOKUP(E1126,CODIGOS!A:A,CODIGOS!B:B)," ")</f>
        <v>0</v>
      </c>
      <c r="G1126" s="9"/>
      <c r="H1126" s="36">
        <v>40</v>
      </c>
      <c r="I1126" s="34"/>
      <c r="J1126" s="38"/>
    </row>
    <row r="1127" spans="1:10">
      <c r="A1127" s="32">
        <f t="shared" si="9"/>
        <v>1126</v>
      </c>
      <c r="B1127" s="33">
        <v>45271</v>
      </c>
      <c r="C1127" s="55" t="s">
        <v>858</v>
      </c>
      <c r="D1127" s="9" t="s">
        <v>1013</v>
      </c>
      <c r="E1127" s="34">
        <v>25</v>
      </c>
      <c r="F1127" s="35">
        <f>IFERROR(LOOKUP(E1127,CODIGOS!A:A,CODIGOS!B:B)," ")</f>
        <v>0</v>
      </c>
      <c r="G1127" s="9"/>
      <c r="H1127" s="36">
        <v>50</v>
      </c>
      <c r="I1127" s="34"/>
      <c r="J1127" s="38"/>
    </row>
    <row r="1128" spans="1:10">
      <c r="A1128" s="32">
        <f t="shared" si="9"/>
        <v>1127</v>
      </c>
      <c r="B1128" s="33">
        <v>45271</v>
      </c>
      <c r="C1128" s="55">
        <v>2270</v>
      </c>
      <c r="D1128" s="9" t="s">
        <v>1014</v>
      </c>
      <c r="E1128" s="34">
        <v>25</v>
      </c>
      <c r="F1128" s="35">
        <f>IFERROR(LOOKUP(E1128,CODIGOS!A:A,CODIGOS!B:B)," ")</f>
        <v>0</v>
      </c>
      <c r="G1128" s="9"/>
      <c r="H1128" s="36">
        <v>40</v>
      </c>
      <c r="I1128" s="34"/>
      <c r="J1128" s="38"/>
    </row>
    <row r="1129" spans="1:10">
      <c r="A1129" s="32">
        <f t="shared" si="9"/>
        <v>1128</v>
      </c>
      <c r="B1129" s="33">
        <v>45271</v>
      </c>
      <c r="C1129" s="55" t="s">
        <v>330</v>
      </c>
      <c r="D1129" s="9" t="s">
        <v>1015</v>
      </c>
      <c r="E1129" s="34">
        <v>25</v>
      </c>
      <c r="F1129" s="35">
        <f>IFERROR(LOOKUP(E1129,CODIGOS!A:A,CODIGOS!B:B)," ")</f>
        <v>0</v>
      </c>
      <c r="G1129" s="9"/>
      <c r="H1129" s="36">
        <v>50</v>
      </c>
      <c r="I1129" s="34"/>
      <c r="J1129" s="38"/>
    </row>
    <row r="1130" spans="1:10">
      <c r="A1130" s="32">
        <f t="shared" si="9"/>
        <v>1129</v>
      </c>
      <c r="B1130" s="33">
        <v>45271</v>
      </c>
      <c r="C1130" s="55">
        <v>2841</v>
      </c>
      <c r="D1130" s="9" t="s">
        <v>770</v>
      </c>
      <c r="E1130" s="34">
        <v>27</v>
      </c>
      <c r="F1130" s="35">
        <f>IFERROR(LOOKUP(E1130,CODIGOS!A:A,CODIGOS!B:B)," ")</f>
        <v>0</v>
      </c>
      <c r="G1130" s="9"/>
      <c r="H1130" s="36">
        <v>5</v>
      </c>
      <c r="I1130" s="34"/>
      <c r="J1130" s="38"/>
    </row>
    <row r="1131" spans="1:10">
      <c r="A1131" s="32">
        <f t="shared" si="9"/>
        <v>1130</v>
      </c>
      <c r="B1131" s="33">
        <v>45271</v>
      </c>
      <c r="C1131" s="55" t="s">
        <v>319</v>
      </c>
      <c r="D1131" s="9" t="s">
        <v>1016</v>
      </c>
      <c r="E1131" s="34">
        <v>25</v>
      </c>
      <c r="F1131" s="35">
        <f>IFERROR(LOOKUP(E1131,CODIGOS!A:A,CODIGOS!B:B)," ")</f>
        <v>0</v>
      </c>
      <c r="G1131" s="9"/>
      <c r="H1131" s="36">
        <v>40</v>
      </c>
      <c r="I1131" s="34"/>
      <c r="J1131" s="38"/>
    </row>
    <row r="1132" spans="1:10">
      <c r="A1132" s="32">
        <f t="shared" si="9"/>
        <v>1131</v>
      </c>
      <c r="B1132" s="33">
        <v>45271</v>
      </c>
      <c r="C1132" s="55" t="s">
        <v>319</v>
      </c>
      <c r="D1132" s="9" t="s">
        <v>1017</v>
      </c>
      <c r="E1132" s="34">
        <v>25</v>
      </c>
      <c r="F1132" s="35">
        <f>IFERROR(LOOKUP(E1132,CODIGOS!A:A,CODIGOS!B:B)," ")</f>
        <v>0</v>
      </c>
      <c r="G1132" s="9"/>
      <c r="H1132" s="36">
        <v>40</v>
      </c>
      <c r="I1132" s="34"/>
      <c r="J1132" s="38"/>
    </row>
    <row r="1133" spans="1:10">
      <c r="A1133" s="32">
        <f t="shared" si="9"/>
        <v>1132</v>
      </c>
      <c r="B1133" s="33">
        <v>45271</v>
      </c>
      <c r="C1133" s="55" t="s">
        <v>878</v>
      </c>
      <c r="D1133" s="9" t="s">
        <v>1018</v>
      </c>
      <c r="E1133" s="34">
        <v>25</v>
      </c>
      <c r="F1133" s="35">
        <f>IFERROR(LOOKUP(E1133,CODIGOS!A:A,CODIGOS!B:B)," ")</f>
        <v>0</v>
      </c>
      <c r="G1133" s="9"/>
      <c r="H1133" s="36">
        <v>-50</v>
      </c>
      <c r="I1133" s="34"/>
      <c r="J1133" s="38"/>
    </row>
    <row r="1134" spans="1:10">
      <c r="A1134" s="32">
        <f t="shared" si="9"/>
        <v>1133</v>
      </c>
      <c r="B1134" s="33">
        <v>45271</v>
      </c>
      <c r="C1134" s="55" t="s">
        <v>930</v>
      </c>
      <c r="D1134" s="9" t="s">
        <v>1019</v>
      </c>
      <c r="E1134" s="34">
        <v>25</v>
      </c>
      <c r="F1134" s="35">
        <f>IFERROR(LOOKUP(E1134,CODIGOS!A:A,CODIGOS!B:B)," ")</f>
        <v>0</v>
      </c>
      <c r="G1134" s="9"/>
      <c r="H1134" s="36">
        <v>-50</v>
      </c>
      <c r="I1134" s="34"/>
      <c r="J1134" s="38"/>
    </row>
    <row r="1135" spans="1:10">
      <c r="A1135" s="32">
        <f t="shared" ref="A1135:A1198" si="10">IF(B1135&lt;&gt;0,A1134+1," ")</f>
        <v>1134</v>
      </c>
      <c r="B1135" s="33">
        <v>45271</v>
      </c>
      <c r="C1135" s="55">
        <v>2837</v>
      </c>
      <c r="D1135" s="9" t="s">
        <v>750</v>
      </c>
      <c r="E1135" s="34">
        <v>25</v>
      </c>
      <c r="F1135" s="35">
        <f>IFERROR(LOOKUP(E1135,CODIGOS!A:A,CODIGOS!B:B)," ")</f>
        <v>0</v>
      </c>
      <c r="G1135" s="9"/>
      <c r="H1135" s="36">
        <v>40</v>
      </c>
      <c r="I1135" s="34"/>
      <c r="J1135" s="38"/>
    </row>
    <row r="1136" spans="1:10">
      <c r="A1136" s="32">
        <f t="shared" si="10"/>
        <v>1135</v>
      </c>
      <c r="B1136" s="33">
        <v>45271</v>
      </c>
      <c r="C1136" s="55">
        <v>2739</v>
      </c>
      <c r="D1136" s="9" t="s">
        <v>1020</v>
      </c>
      <c r="E1136" s="34">
        <v>25</v>
      </c>
      <c r="F1136" s="35">
        <f>IFERROR(LOOKUP(E1136,CODIGOS!A:A,CODIGOS!B:B)," ")</f>
        <v>0</v>
      </c>
      <c r="G1136" s="9"/>
      <c r="H1136" s="36">
        <v>40</v>
      </c>
      <c r="I1136" s="34"/>
      <c r="J1136" s="38"/>
    </row>
    <row r="1137" spans="1:10">
      <c r="A1137" s="32">
        <f t="shared" si="10"/>
        <v>1136</v>
      </c>
      <c r="B1137" s="33">
        <v>45271</v>
      </c>
      <c r="C1137" s="55">
        <v>2597</v>
      </c>
      <c r="D1137" s="9" t="s">
        <v>1021</v>
      </c>
      <c r="E1137" s="34">
        <v>25</v>
      </c>
      <c r="F1137" s="35">
        <f>IFERROR(LOOKUP(E1137,CODIGOS!A:A,CODIGOS!B:B)," ")</f>
        <v>0</v>
      </c>
      <c r="G1137" s="9"/>
      <c r="H1137" s="36">
        <v>40</v>
      </c>
      <c r="I1137" s="34"/>
      <c r="J1137" s="38"/>
    </row>
    <row r="1138" spans="1:10">
      <c r="A1138" s="32">
        <f t="shared" si="10"/>
        <v>1137</v>
      </c>
      <c r="B1138" s="33">
        <v>45271</v>
      </c>
      <c r="C1138" s="55">
        <v>2879</v>
      </c>
      <c r="D1138" s="9" t="s">
        <v>1022</v>
      </c>
      <c r="E1138" s="34">
        <v>23</v>
      </c>
      <c r="F1138" s="35">
        <f>IFERROR(LOOKUP(E1138,CODIGOS!A:A,CODIGOS!B:B)," ")</f>
        <v>0</v>
      </c>
      <c r="G1138" s="9"/>
      <c r="H1138" s="36">
        <v>25</v>
      </c>
      <c r="I1138" s="34"/>
      <c r="J1138" s="38"/>
    </row>
    <row r="1139" spans="1:10">
      <c r="A1139" s="32">
        <f t="shared" si="10"/>
        <v>1138</v>
      </c>
      <c r="B1139" s="33">
        <v>45271</v>
      </c>
      <c r="C1139" s="55">
        <v>2880</v>
      </c>
      <c r="D1139" s="9" t="s">
        <v>1023</v>
      </c>
      <c r="E1139" s="34">
        <v>23</v>
      </c>
      <c r="F1139" s="35">
        <f>IFERROR(LOOKUP(E1139,CODIGOS!A:A,CODIGOS!B:B)," ")</f>
        <v>0</v>
      </c>
      <c r="G1139" s="9"/>
      <c r="H1139" s="36">
        <v>25</v>
      </c>
      <c r="I1139" s="34"/>
      <c r="J1139" s="38"/>
    </row>
    <row r="1140" spans="1:10">
      <c r="A1140" s="32">
        <f t="shared" si="10"/>
        <v>1139</v>
      </c>
      <c r="B1140" s="33">
        <v>45271</v>
      </c>
      <c r="C1140" s="55">
        <v>2881</v>
      </c>
      <c r="D1140" s="9" t="s">
        <v>1024</v>
      </c>
      <c r="E1140" s="34">
        <v>23</v>
      </c>
      <c r="F1140" s="35">
        <f>IFERROR(LOOKUP(E1140,CODIGOS!A:A,CODIGOS!B:B)," ")</f>
        <v>0</v>
      </c>
      <c r="G1140" s="9"/>
      <c r="H1140" s="36">
        <v>25</v>
      </c>
      <c r="I1140" s="34"/>
      <c r="J1140" s="38"/>
    </row>
    <row r="1141" spans="1:10">
      <c r="A1141" s="32">
        <f t="shared" si="10"/>
        <v>1140</v>
      </c>
      <c r="B1141" s="33">
        <v>45272</v>
      </c>
      <c r="C1141" s="55">
        <v>2497</v>
      </c>
      <c r="D1141" s="56" t="s">
        <v>592</v>
      </c>
      <c r="E1141" s="34">
        <v>25</v>
      </c>
      <c r="F1141" s="35">
        <f>IFERROR(LOOKUP(E1141,CODIGOS!A:A,CODIGOS!B:B)," ")</f>
        <v>0</v>
      </c>
      <c r="G1141" s="9"/>
      <c r="H1141" s="36">
        <v>40</v>
      </c>
      <c r="I1141" s="34"/>
      <c r="J1141" s="38"/>
    </row>
    <row r="1142" spans="1:10">
      <c r="A1142" s="32">
        <f t="shared" si="10"/>
        <v>1141</v>
      </c>
      <c r="B1142" s="33">
        <v>45272</v>
      </c>
      <c r="C1142" s="57" t="s">
        <v>150</v>
      </c>
      <c r="D1142" s="56" t="s">
        <v>593</v>
      </c>
      <c r="E1142" s="34">
        <v>25</v>
      </c>
      <c r="F1142" s="35">
        <f>IFERROR(LOOKUP(E1142,CODIGOS!A:A,CODIGOS!B:B)," ")</f>
        <v>0</v>
      </c>
      <c r="G1142" s="9"/>
      <c r="H1142" s="36">
        <v>50</v>
      </c>
      <c r="I1142" s="34"/>
      <c r="J1142" s="38"/>
    </row>
    <row r="1143" spans="1:10">
      <c r="A1143" s="32">
        <f t="shared" si="10"/>
        <v>1142</v>
      </c>
      <c r="B1143" s="33">
        <v>45272</v>
      </c>
      <c r="C1143" s="55">
        <v>1583</v>
      </c>
      <c r="D1143" s="56" t="s">
        <v>1025</v>
      </c>
      <c r="E1143" s="34">
        <v>55</v>
      </c>
      <c r="F1143" s="35">
        <f>IFERROR(LOOKUP(E1143,CODIGOS!A:A,CODIGOS!B:B)," ")</f>
        <v>0</v>
      </c>
      <c r="G1143" s="9"/>
      <c r="H1143" s="36">
        <v>25</v>
      </c>
      <c r="I1143" s="34"/>
      <c r="J1143" s="38"/>
    </row>
    <row r="1144" spans="1:10">
      <c r="A1144" s="32">
        <f t="shared" si="10"/>
        <v>1143</v>
      </c>
      <c r="B1144" s="33">
        <v>45272</v>
      </c>
      <c r="C1144" s="55">
        <v>1916</v>
      </c>
      <c r="D1144" s="56" t="s">
        <v>1026</v>
      </c>
      <c r="E1144" s="34">
        <v>25</v>
      </c>
      <c r="F1144" s="35">
        <f>IFERROR(LOOKUP(E1144,CODIGOS!A:A,CODIGOS!B:B)," ")</f>
        <v>0</v>
      </c>
      <c r="G1144" s="9"/>
      <c r="H1144" s="36">
        <v>40</v>
      </c>
      <c r="I1144" s="34"/>
      <c r="J1144" s="38"/>
    </row>
    <row r="1145" spans="1:10">
      <c r="A1145" s="32">
        <f t="shared" si="10"/>
        <v>1144</v>
      </c>
      <c r="B1145" s="33">
        <v>45272</v>
      </c>
      <c r="C1145" s="55">
        <v>2445</v>
      </c>
      <c r="D1145" s="56" t="s">
        <v>636</v>
      </c>
      <c r="E1145" s="34">
        <v>25</v>
      </c>
      <c r="F1145" s="35">
        <f>IFERROR(LOOKUP(E1145,CODIGOS!A:A,CODIGOS!B:B)," ")</f>
        <v>0</v>
      </c>
      <c r="G1145" s="58" t="s">
        <v>1027</v>
      </c>
      <c r="H1145" s="36">
        <v>20</v>
      </c>
      <c r="I1145" s="34"/>
      <c r="J1145" s="38"/>
    </row>
    <row r="1146" spans="1:10">
      <c r="A1146" s="32">
        <f t="shared" si="10"/>
        <v>1145</v>
      </c>
      <c r="B1146" s="33">
        <v>45273</v>
      </c>
      <c r="C1146" s="55">
        <v>2511</v>
      </c>
      <c r="D1146" s="9" t="s">
        <v>1028</v>
      </c>
      <c r="E1146" s="34">
        <v>25</v>
      </c>
      <c r="F1146" s="35">
        <f>IFERROR(LOOKUP(E1146,CODIGOS!A:A,CODIGOS!B:B)," ")</f>
        <v>0</v>
      </c>
      <c r="G1146" s="9"/>
      <c r="H1146" s="36">
        <v>40</v>
      </c>
      <c r="I1146" s="34"/>
      <c r="J1146" s="38"/>
    </row>
    <row r="1147" spans="1:10">
      <c r="A1147" s="32">
        <f t="shared" si="10"/>
        <v>1146</v>
      </c>
      <c r="B1147" s="33">
        <v>45273</v>
      </c>
      <c r="C1147" s="55" t="s">
        <v>301</v>
      </c>
      <c r="D1147" s="9" t="s">
        <v>1029</v>
      </c>
      <c r="E1147" s="34">
        <v>28</v>
      </c>
      <c r="F1147" s="35">
        <f>IFERROR(LOOKUP(E1147,CODIGOS!A:A,CODIGOS!B:B)," ")</f>
        <v>0</v>
      </c>
      <c r="G1147" s="9"/>
      <c r="H1147" s="36">
        <v>10</v>
      </c>
      <c r="I1147" s="34"/>
      <c r="J1147" s="38"/>
    </row>
    <row r="1148" spans="1:10">
      <c r="A1148" s="32">
        <f t="shared" si="10"/>
        <v>1147</v>
      </c>
      <c r="B1148" s="33">
        <v>45273</v>
      </c>
      <c r="C1148" s="55" t="s">
        <v>886</v>
      </c>
      <c r="D1148" s="9" t="s">
        <v>1030</v>
      </c>
      <c r="E1148" s="34">
        <v>22</v>
      </c>
      <c r="F1148" s="35">
        <f>IFERROR(LOOKUP(E1148,CODIGOS!A:A,CODIGOS!B:B)," ")</f>
        <v>0</v>
      </c>
      <c r="G1148" s="9"/>
      <c r="H1148" s="36">
        <v>-20</v>
      </c>
      <c r="I1148" s="34"/>
      <c r="J1148" s="38"/>
    </row>
    <row r="1149" spans="1:10">
      <c r="A1149" s="32">
        <f t="shared" si="10"/>
        <v>1148</v>
      </c>
      <c r="B1149" s="33">
        <v>45273</v>
      </c>
      <c r="C1149" s="55">
        <v>2707</v>
      </c>
      <c r="D1149" s="9" t="s">
        <v>1031</v>
      </c>
      <c r="E1149" s="34">
        <v>22</v>
      </c>
      <c r="F1149" s="35">
        <f>IFERROR(LOOKUP(E1149,CODIGOS!A:A,CODIGOS!B:B)," ")</f>
        <v>0</v>
      </c>
      <c r="G1149" s="9"/>
      <c r="H1149" s="36">
        <v>-16</v>
      </c>
      <c r="I1149" s="34"/>
      <c r="J1149" s="38"/>
    </row>
    <row r="1150" spans="1:10">
      <c r="A1150" s="32">
        <f t="shared" si="10"/>
        <v>1149</v>
      </c>
      <c r="B1150" s="33">
        <v>45273</v>
      </c>
      <c r="C1150" s="55">
        <v>2789</v>
      </c>
      <c r="D1150" s="9" t="s">
        <v>1032</v>
      </c>
      <c r="E1150" s="34">
        <v>22</v>
      </c>
      <c r="F1150" s="35">
        <f>IFERROR(LOOKUP(E1150,CODIGOS!A:A,CODIGOS!B:B)," ")</f>
        <v>0</v>
      </c>
      <c r="G1150" s="9"/>
      <c r="H1150" s="36">
        <v>-10</v>
      </c>
      <c r="I1150" s="34"/>
      <c r="J1150" s="38"/>
    </row>
    <row r="1151" spans="1:10">
      <c r="A1151" s="32">
        <f t="shared" si="10"/>
        <v>1150</v>
      </c>
      <c r="B1151" s="33">
        <v>45273</v>
      </c>
      <c r="C1151" s="55" t="s">
        <v>1033</v>
      </c>
      <c r="D1151" s="9" t="s">
        <v>1034</v>
      </c>
      <c r="E1151" s="34">
        <v>25</v>
      </c>
      <c r="F1151" s="35">
        <f>IFERROR(LOOKUP(E1151,CODIGOS!A:A,CODIGOS!B:B)," ")</f>
        <v>0</v>
      </c>
      <c r="G1151" s="9"/>
      <c r="H1151" s="36">
        <v>50</v>
      </c>
      <c r="I1151" s="34"/>
      <c r="J1151" s="38"/>
    </row>
    <row r="1152" spans="1:10">
      <c r="A1152" s="32">
        <f t="shared" si="10"/>
        <v>1151</v>
      </c>
      <c r="B1152" s="33">
        <v>45273</v>
      </c>
      <c r="C1152" s="55">
        <v>2498</v>
      </c>
      <c r="D1152" s="9" t="s">
        <v>177</v>
      </c>
      <c r="E1152" s="34">
        <v>22</v>
      </c>
      <c r="F1152" s="35">
        <f>IFERROR(LOOKUP(E1152,CODIGOS!A:A,CODIGOS!B:B)," ")</f>
        <v>0</v>
      </c>
      <c r="G1152" s="9"/>
      <c r="H1152" s="36">
        <v>-40</v>
      </c>
      <c r="I1152" s="34"/>
      <c r="J1152" s="38"/>
    </row>
    <row r="1153" spans="1:10">
      <c r="A1153" s="32">
        <f t="shared" si="10"/>
        <v>1152</v>
      </c>
      <c r="B1153" s="33">
        <v>45273</v>
      </c>
      <c r="C1153" s="55" t="s">
        <v>178</v>
      </c>
      <c r="D1153" s="9" t="s">
        <v>1035</v>
      </c>
      <c r="E1153" s="34">
        <v>22</v>
      </c>
      <c r="F1153" s="35">
        <f>IFERROR(LOOKUP(E1153,CODIGOS!A:A,CODIGOS!B:B)," ")</f>
        <v>0</v>
      </c>
      <c r="G1153" s="9"/>
      <c r="H1153" s="36">
        <v>-50</v>
      </c>
      <c r="I1153" s="34"/>
      <c r="J1153" s="38"/>
    </row>
    <row r="1154" spans="1:10">
      <c r="A1154" s="32">
        <f t="shared" si="10"/>
        <v>1153</v>
      </c>
      <c r="B1154" s="33">
        <v>45274</v>
      </c>
      <c r="C1154" s="35">
        <f>IFERROR(LOOKUP(D1154,SOCIO!B:B,SOCIO!A:A)," ")</f>
        <v>3040</v>
      </c>
      <c r="D1154" s="1" t="s">
        <v>1036</v>
      </c>
      <c r="E1154" s="34">
        <v>25</v>
      </c>
      <c r="F1154" s="35">
        <f>IFERROR(LOOKUP(E1154,CODIGOS!A:A,CODIGOS!B:B)," ")</f>
        <v>0</v>
      </c>
      <c r="G1154" s="9"/>
      <c r="H1154" s="36">
        <v>40</v>
      </c>
      <c r="I1154" s="34"/>
      <c r="J1154" s="38"/>
    </row>
    <row r="1155" spans="1:10">
      <c r="A1155" s="32">
        <f t="shared" si="10"/>
        <v>1154</v>
      </c>
      <c r="B1155" s="33">
        <v>45274</v>
      </c>
      <c r="C1155" s="35" t="s">
        <v>1037</v>
      </c>
      <c r="D1155" s="9" t="s">
        <v>1038</v>
      </c>
      <c r="E1155" s="34">
        <v>25</v>
      </c>
      <c r="F1155" s="35">
        <f>IFERROR(LOOKUP(E1155,CODIGOS!A:A,CODIGOS!B:B)," ")</f>
        <v>0</v>
      </c>
      <c r="G1155" s="9"/>
      <c r="H1155" s="36">
        <v>50</v>
      </c>
      <c r="I1155" s="34"/>
      <c r="J1155" s="38"/>
    </row>
    <row r="1156" spans="1:10">
      <c r="A1156" s="32" t="str">
        <f t="shared" si="10"/>
        <v xml:space="preserve"> </v>
      </c>
      <c r="B1156" s="33"/>
      <c r="C1156" s="35" t="str">
        <f>IFERROR(LOOKUP(D1156,SOCIO!B:B,SOCIO!A:A)," ")</f>
        <v xml:space="preserve"> </v>
      </c>
      <c r="D1156" s="9"/>
      <c r="E1156" s="34"/>
      <c r="F1156" s="35"/>
      <c r="G1156" s="9"/>
      <c r="H1156" s="36"/>
      <c r="I1156" s="34"/>
      <c r="J1156" s="38"/>
    </row>
    <row r="1157" spans="1:10">
      <c r="A1157" s="32" t="str">
        <f t="shared" si="10"/>
        <v xml:space="preserve"> </v>
      </c>
      <c r="B1157" s="33"/>
      <c r="C1157" s="35" t="str">
        <f>IFERROR(LOOKUP(D1157,SOCIO!B:B,SOCIO!A:A)," ")</f>
        <v xml:space="preserve"> </v>
      </c>
      <c r="D1157" s="9"/>
      <c r="E1157" s="34"/>
      <c r="F1157" s="35" t="str">
        <f>IFERROR(LOOKUP(E1157,CODIGOS!A:A,CODIGOS!B:B)," ")</f>
        <v xml:space="preserve"> </v>
      </c>
      <c r="G1157" s="9"/>
      <c r="H1157" s="36"/>
      <c r="I1157" s="34"/>
      <c r="J1157" s="38"/>
    </row>
    <row r="1158" spans="1:10">
      <c r="A1158" s="32" t="str">
        <f t="shared" si="10"/>
        <v xml:space="preserve"> </v>
      </c>
      <c r="B1158" s="33"/>
      <c r="C1158" s="35" t="str">
        <f>IFERROR(LOOKUP(D1158,SOCIO!B:B,SOCIO!A:A)," ")</f>
        <v xml:space="preserve"> </v>
      </c>
      <c r="D1158" s="9"/>
      <c r="E1158" s="34"/>
      <c r="F1158" s="35" t="str">
        <f>IFERROR(LOOKUP(E1158,CODIGOS!A:A,CODIGOS!B:B)," ")</f>
        <v xml:space="preserve"> </v>
      </c>
      <c r="G1158" s="9"/>
      <c r="H1158" s="36"/>
      <c r="I1158" s="34"/>
      <c r="J1158" s="38"/>
    </row>
    <row r="1159" spans="1:10">
      <c r="A1159" s="32" t="str">
        <f t="shared" si="10"/>
        <v xml:space="preserve"> </v>
      </c>
      <c r="B1159" s="33"/>
      <c r="C1159" s="35" t="str">
        <f>IFERROR(LOOKUP(D1159,SOCIO!B:B,SOCIO!A:A)," ")</f>
        <v xml:space="preserve"> </v>
      </c>
      <c r="D1159" s="9"/>
      <c r="E1159" s="34"/>
      <c r="F1159" s="35" t="str">
        <f>IFERROR(LOOKUP(E1159,CODIGOS!A:A,CODIGOS!B:B)," ")</f>
        <v xml:space="preserve"> </v>
      </c>
      <c r="G1159" s="9"/>
      <c r="H1159" s="36"/>
      <c r="I1159" s="34"/>
      <c r="J1159" s="38"/>
    </row>
    <row r="1160" spans="1:10">
      <c r="A1160" s="32" t="str">
        <f t="shared" si="10"/>
        <v xml:space="preserve"> </v>
      </c>
      <c r="B1160" s="33"/>
      <c r="C1160" s="35" t="str">
        <f>IFERROR(LOOKUP(D1160,SOCIO!B:B,SOCIO!A:A)," ")</f>
        <v xml:space="preserve"> </v>
      </c>
      <c r="D1160" s="9"/>
      <c r="E1160" s="34"/>
      <c r="F1160" s="35" t="str">
        <f>IFERROR(LOOKUP(E1160,CODIGOS!A:A,CODIGOS!B:B)," ")</f>
        <v xml:space="preserve"> </v>
      </c>
      <c r="G1160" s="9"/>
      <c r="H1160" s="36"/>
      <c r="I1160" s="34"/>
      <c r="J1160" s="38"/>
    </row>
    <row r="1161" spans="1:10">
      <c r="A1161" s="32" t="str">
        <f t="shared" si="10"/>
        <v xml:space="preserve"> </v>
      </c>
      <c r="B1161" s="33"/>
      <c r="C1161" s="35" t="str">
        <f>IFERROR(LOOKUP(D1161,SOCIO!B:B,SOCIO!A:A)," ")</f>
        <v xml:space="preserve"> </v>
      </c>
      <c r="D1161" s="9"/>
      <c r="E1161" s="34"/>
      <c r="F1161" s="35" t="str">
        <f>IFERROR(LOOKUP(E1161,CODIGOS!A:A,CODIGOS!B:B)," ")</f>
        <v xml:space="preserve"> </v>
      </c>
      <c r="G1161" s="9"/>
      <c r="H1161" s="36"/>
      <c r="I1161" s="34"/>
      <c r="J1161" s="38"/>
    </row>
    <row r="1162" spans="1:10">
      <c r="A1162" s="32" t="str">
        <f t="shared" si="10"/>
        <v xml:space="preserve"> </v>
      </c>
      <c r="B1162" s="33"/>
      <c r="C1162" s="35" t="str">
        <f>IFERROR(LOOKUP(D1162,SOCIO!B:B,SOCIO!A:A)," ")</f>
        <v xml:space="preserve"> </v>
      </c>
      <c r="D1162" s="9"/>
      <c r="E1162" s="34"/>
      <c r="F1162" s="35" t="str">
        <f>IFERROR(LOOKUP(E1162,CODIGOS!A:A,CODIGOS!B:B)," ")</f>
        <v xml:space="preserve"> </v>
      </c>
      <c r="G1162" s="9"/>
      <c r="H1162" s="36"/>
      <c r="I1162" s="34"/>
      <c r="J1162" s="38"/>
    </row>
    <row r="1163" spans="1:10">
      <c r="A1163" s="32" t="str">
        <f t="shared" si="10"/>
        <v xml:space="preserve"> </v>
      </c>
      <c r="B1163" s="33"/>
      <c r="C1163" s="35" t="str">
        <f>IFERROR(LOOKUP(D1163,SOCIO!B:B,SOCIO!A:A)," ")</f>
        <v xml:space="preserve"> </v>
      </c>
      <c r="D1163" s="9"/>
      <c r="E1163" s="34"/>
      <c r="F1163" s="35" t="str">
        <f>IFERROR(LOOKUP(E1163,CODIGOS!A:A,CODIGOS!B:B)," ")</f>
        <v xml:space="preserve"> </v>
      </c>
      <c r="G1163" s="9"/>
      <c r="H1163" s="36"/>
      <c r="I1163" s="34"/>
      <c r="J1163" s="38"/>
    </row>
    <row r="1164" spans="1:10">
      <c r="A1164" s="32" t="str">
        <f t="shared" si="10"/>
        <v xml:space="preserve"> </v>
      </c>
      <c r="B1164" s="33"/>
      <c r="C1164" s="35" t="str">
        <f>IFERROR(LOOKUP(D1164,SOCIO!B:B,SOCIO!A:A)," ")</f>
        <v xml:space="preserve"> </v>
      </c>
      <c r="D1164" s="9"/>
      <c r="E1164" s="34"/>
      <c r="F1164" s="35" t="str">
        <f>IFERROR(LOOKUP(E1164,CODIGOS!A:A,CODIGOS!B:B)," ")</f>
        <v xml:space="preserve"> </v>
      </c>
      <c r="G1164" s="9"/>
      <c r="H1164" s="36"/>
      <c r="I1164" s="34"/>
      <c r="J1164" s="38"/>
    </row>
    <row r="1165" spans="1:10">
      <c r="A1165" s="32" t="str">
        <f t="shared" si="10"/>
        <v xml:space="preserve"> </v>
      </c>
      <c r="B1165" s="33"/>
      <c r="C1165" s="35" t="str">
        <f>IFERROR(LOOKUP(D1165,SOCIO!B:B,SOCIO!A:A)," ")</f>
        <v xml:space="preserve"> </v>
      </c>
      <c r="D1165" s="9"/>
      <c r="E1165" s="34"/>
      <c r="F1165" s="35" t="str">
        <f>IFERROR(LOOKUP(E1165,CODIGOS!A:A,CODIGOS!B:B)," ")</f>
        <v xml:space="preserve"> </v>
      </c>
      <c r="G1165" s="9"/>
      <c r="H1165" s="36"/>
      <c r="I1165" s="34"/>
      <c r="J1165" s="38"/>
    </row>
    <row r="1166" spans="1:10">
      <c r="A1166" s="32" t="str">
        <f t="shared" si="10"/>
        <v xml:space="preserve"> </v>
      </c>
      <c r="B1166" s="33"/>
      <c r="C1166" s="35" t="str">
        <f>IFERROR(LOOKUP(D1166,SOCIO!B:B,SOCIO!A:A)," ")</f>
        <v xml:space="preserve"> </v>
      </c>
      <c r="D1166" s="9"/>
      <c r="E1166" s="34"/>
      <c r="F1166" s="35" t="str">
        <f>IFERROR(LOOKUP(E1166,CODIGOS!A:A,CODIGOS!B:B)," ")</f>
        <v xml:space="preserve"> </v>
      </c>
      <c r="G1166" s="9"/>
      <c r="H1166" s="36"/>
      <c r="I1166" s="34"/>
      <c r="J1166" s="38"/>
    </row>
    <row r="1167" spans="1:10">
      <c r="A1167" s="32" t="str">
        <f t="shared" si="10"/>
        <v xml:space="preserve"> </v>
      </c>
      <c r="B1167" s="33"/>
      <c r="C1167" s="35" t="str">
        <f>IFERROR(LOOKUP(D1167,SOCIO!B:B,SOCIO!A:A)," ")</f>
        <v xml:space="preserve"> </v>
      </c>
      <c r="D1167" s="9"/>
      <c r="E1167" s="34"/>
      <c r="F1167" s="35" t="str">
        <f>IFERROR(LOOKUP(E1167,CODIGOS!A:A,CODIGOS!B:B)," ")</f>
        <v xml:space="preserve"> </v>
      </c>
      <c r="G1167" s="9"/>
      <c r="H1167" s="36"/>
      <c r="I1167" s="34"/>
      <c r="J1167" s="38"/>
    </row>
    <row r="1168" spans="1:10">
      <c r="A1168" s="32" t="str">
        <f t="shared" si="10"/>
        <v xml:space="preserve"> </v>
      </c>
      <c r="B1168" s="33"/>
      <c r="C1168" s="35" t="str">
        <f>IFERROR(LOOKUP(D1168,SOCIO!B:B,SOCIO!A:A)," ")</f>
        <v xml:space="preserve"> </v>
      </c>
      <c r="D1168" s="9"/>
      <c r="E1168" s="34"/>
      <c r="F1168" s="35" t="str">
        <f>IFERROR(LOOKUP(E1168,CODIGOS!A:A,CODIGOS!B:B)," ")</f>
        <v xml:space="preserve"> </v>
      </c>
      <c r="G1168" s="9"/>
      <c r="H1168" s="36"/>
      <c r="I1168" s="34"/>
      <c r="J1168" s="38"/>
    </row>
    <row r="1169" spans="1:10">
      <c r="A1169" s="32" t="str">
        <f t="shared" si="10"/>
        <v xml:space="preserve"> </v>
      </c>
      <c r="B1169" s="33"/>
      <c r="C1169" s="35" t="str">
        <f>IFERROR(LOOKUP(D1169,SOCIO!B:B,SOCIO!A:A)," ")</f>
        <v xml:space="preserve"> </v>
      </c>
      <c r="D1169" s="9"/>
      <c r="E1169" s="34"/>
      <c r="F1169" s="35" t="str">
        <f>IFERROR(LOOKUP(E1169,CODIGOS!A:A,CODIGOS!B:B)," ")</f>
        <v xml:space="preserve"> </v>
      </c>
      <c r="G1169" s="9"/>
      <c r="H1169" s="36"/>
      <c r="I1169" s="34"/>
      <c r="J1169" s="38"/>
    </row>
    <row r="1170" spans="1:10">
      <c r="A1170" s="32" t="str">
        <f t="shared" si="10"/>
        <v xml:space="preserve"> </v>
      </c>
      <c r="B1170" s="33"/>
      <c r="C1170" s="35" t="str">
        <f>IFERROR(LOOKUP(D1170,SOCIO!B:B,SOCIO!A:A)," ")</f>
        <v xml:space="preserve"> </v>
      </c>
      <c r="D1170" s="9"/>
      <c r="E1170" s="34"/>
      <c r="F1170" s="35" t="str">
        <f>IFERROR(LOOKUP(E1170,CODIGOS!A:A,CODIGOS!B:B)," ")</f>
        <v xml:space="preserve"> </v>
      </c>
      <c r="G1170" s="9"/>
      <c r="H1170" s="36"/>
      <c r="I1170" s="34"/>
      <c r="J1170" s="38"/>
    </row>
    <row r="1171" spans="1:10">
      <c r="A1171" s="32" t="str">
        <f t="shared" si="10"/>
        <v xml:space="preserve"> </v>
      </c>
      <c r="B1171" s="33"/>
      <c r="C1171" s="35" t="str">
        <f>IFERROR(LOOKUP(D1171,SOCIO!B:B,SOCIO!A:A)," ")</f>
        <v xml:space="preserve"> </v>
      </c>
      <c r="D1171" s="9"/>
      <c r="E1171" s="34"/>
      <c r="F1171" s="35" t="str">
        <f>IFERROR(LOOKUP(E1171,CODIGOS!A:A,CODIGOS!B:B)," ")</f>
        <v xml:space="preserve"> </v>
      </c>
      <c r="G1171" s="9"/>
      <c r="H1171" s="36"/>
      <c r="I1171" s="34"/>
      <c r="J1171" s="38"/>
    </row>
    <row r="1172" spans="1:10">
      <c r="A1172" s="32" t="str">
        <f t="shared" si="10"/>
        <v xml:space="preserve"> </v>
      </c>
      <c r="B1172" s="33"/>
      <c r="C1172" s="35" t="str">
        <f>IFERROR(LOOKUP(D1172,SOCIO!B:B,SOCIO!A:A)," ")</f>
        <v xml:space="preserve"> </v>
      </c>
      <c r="D1172" s="9"/>
      <c r="E1172" s="34"/>
      <c r="F1172" s="35" t="str">
        <f>IFERROR(LOOKUP(E1172,CODIGOS!A:A,CODIGOS!B:B)," ")</f>
        <v xml:space="preserve"> </v>
      </c>
      <c r="G1172" s="9"/>
      <c r="H1172" s="36"/>
      <c r="I1172" s="34"/>
      <c r="J1172" s="38"/>
    </row>
    <row r="1173" spans="1:10">
      <c r="A1173" s="32" t="str">
        <f t="shared" si="10"/>
        <v xml:space="preserve"> </v>
      </c>
      <c r="B1173" s="33"/>
      <c r="C1173" s="35" t="str">
        <f>IFERROR(LOOKUP(D1173,SOCIO!B:B,SOCIO!A:A)," ")</f>
        <v xml:space="preserve"> </v>
      </c>
      <c r="D1173" s="9"/>
      <c r="E1173" s="34"/>
      <c r="F1173" s="35" t="str">
        <f>IFERROR(LOOKUP(E1173,CODIGOS!A:A,CODIGOS!B:B)," ")</f>
        <v xml:space="preserve"> </v>
      </c>
      <c r="G1173" s="9"/>
      <c r="H1173" s="36"/>
      <c r="I1173" s="34"/>
      <c r="J1173" s="38"/>
    </row>
    <row r="1174" spans="1:10">
      <c r="A1174" s="32" t="str">
        <f t="shared" si="10"/>
        <v xml:space="preserve"> </v>
      </c>
      <c r="B1174" s="33"/>
      <c r="C1174" s="35" t="str">
        <f>IFERROR(LOOKUP(D1174,SOCIO!B:B,SOCIO!A:A)," ")</f>
        <v xml:space="preserve"> </v>
      </c>
      <c r="D1174" s="9"/>
      <c r="E1174" s="34"/>
      <c r="F1174" s="35" t="str">
        <f>IFERROR(LOOKUP(E1174,CODIGOS!A:A,CODIGOS!B:B)," ")</f>
        <v xml:space="preserve"> </v>
      </c>
      <c r="G1174" s="9"/>
      <c r="H1174" s="36"/>
      <c r="I1174" s="34"/>
      <c r="J1174" s="38"/>
    </row>
    <row r="1175" spans="1:10">
      <c r="A1175" s="32" t="str">
        <f t="shared" si="10"/>
        <v xml:space="preserve"> </v>
      </c>
      <c r="B1175" s="33"/>
      <c r="C1175" s="35" t="str">
        <f>IFERROR(LOOKUP(D1175,SOCIO!B:B,SOCIO!A:A)," ")</f>
        <v xml:space="preserve"> </v>
      </c>
      <c r="D1175" s="9"/>
      <c r="E1175" s="34"/>
      <c r="F1175" s="35" t="str">
        <f>IFERROR(LOOKUP(E1175,CODIGOS!A:A,CODIGOS!B:B)," ")</f>
        <v xml:space="preserve"> </v>
      </c>
      <c r="G1175" s="9"/>
      <c r="H1175" s="36"/>
      <c r="I1175" s="34"/>
      <c r="J1175" s="38"/>
    </row>
    <row r="1176" spans="1:10">
      <c r="A1176" s="32" t="str">
        <f t="shared" si="10"/>
        <v xml:space="preserve"> </v>
      </c>
      <c r="B1176" s="33"/>
      <c r="C1176" s="35" t="str">
        <f>IFERROR(LOOKUP(D1176,SOCIO!B:B,SOCIO!A:A)," ")</f>
        <v xml:space="preserve"> </v>
      </c>
      <c r="D1176" s="9"/>
      <c r="E1176" s="34"/>
      <c r="F1176" s="35" t="str">
        <f>IFERROR(LOOKUP(E1176,CODIGOS!A:A,CODIGOS!B:B)," ")</f>
        <v xml:space="preserve"> </v>
      </c>
      <c r="G1176" s="9"/>
      <c r="H1176" s="36"/>
      <c r="I1176" s="34"/>
      <c r="J1176" s="38"/>
    </row>
    <row r="1177" spans="1:10">
      <c r="A1177" s="32" t="str">
        <f t="shared" si="10"/>
        <v xml:space="preserve"> </v>
      </c>
      <c r="B1177" s="33"/>
      <c r="C1177" s="35" t="str">
        <f>IFERROR(LOOKUP(D1177,SOCIO!B:B,SOCIO!A:A)," ")</f>
        <v xml:space="preserve"> </v>
      </c>
      <c r="D1177" s="9"/>
      <c r="E1177" s="34"/>
      <c r="F1177" s="35" t="str">
        <f>IFERROR(LOOKUP(E1177,CODIGOS!A:A,CODIGOS!B:B)," ")</f>
        <v xml:space="preserve"> </v>
      </c>
      <c r="G1177" s="9"/>
      <c r="H1177" s="36"/>
      <c r="I1177" s="34"/>
      <c r="J1177" s="38"/>
    </row>
    <row r="1178" spans="1:10">
      <c r="A1178" s="32" t="str">
        <f t="shared" si="10"/>
        <v xml:space="preserve"> </v>
      </c>
      <c r="B1178" s="33"/>
      <c r="C1178" s="35" t="str">
        <f>IFERROR(LOOKUP(D1178,SOCIO!B:B,SOCIO!A:A)," ")</f>
        <v xml:space="preserve"> </v>
      </c>
      <c r="D1178" s="9"/>
      <c r="E1178" s="34"/>
      <c r="F1178" s="35" t="str">
        <f>IFERROR(LOOKUP(E1178,CODIGOS!A:A,CODIGOS!B:B)," ")</f>
        <v xml:space="preserve"> </v>
      </c>
      <c r="G1178" s="9"/>
      <c r="H1178" s="36"/>
      <c r="I1178" s="34"/>
      <c r="J1178" s="38"/>
    </row>
    <row r="1179" spans="1:10">
      <c r="A1179" s="32" t="str">
        <f t="shared" si="10"/>
        <v xml:space="preserve"> </v>
      </c>
      <c r="B1179" s="33"/>
      <c r="C1179" s="35" t="str">
        <f>IFERROR(LOOKUP(D1179,SOCIO!B:B,SOCIO!A:A)," ")</f>
        <v xml:space="preserve"> </v>
      </c>
      <c r="D1179" s="9"/>
      <c r="E1179" s="34"/>
      <c r="F1179" s="35" t="str">
        <f>IFERROR(LOOKUP(E1179,CODIGOS!A:A,CODIGOS!B:B)," ")</f>
        <v xml:space="preserve"> </v>
      </c>
      <c r="G1179" s="9"/>
      <c r="H1179" s="36"/>
      <c r="I1179" s="34"/>
      <c r="J1179" s="38"/>
    </row>
    <row r="1180" spans="1:10">
      <c r="A1180" s="32" t="str">
        <f t="shared" si="10"/>
        <v xml:space="preserve"> </v>
      </c>
      <c r="B1180" s="33"/>
      <c r="C1180" s="35" t="str">
        <f>IFERROR(LOOKUP(D1180,SOCIO!B:B,SOCIO!A:A)," ")</f>
        <v xml:space="preserve"> </v>
      </c>
      <c r="D1180" s="9"/>
      <c r="E1180" s="34"/>
      <c r="F1180" s="35" t="str">
        <f>IFERROR(LOOKUP(E1180,CODIGOS!A:A,CODIGOS!B:B)," ")</f>
        <v xml:space="preserve"> </v>
      </c>
      <c r="G1180" s="9"/>
      <c r="H1180" s="36"/>
      <c r="I1180" s="34"/>
      <c r="J1180" s="38"/>
    </row>
    <row r="1181" spans="1:10">
      <c r="A1181" s="32" t="str">
        <f t="shared" si="10"/>
        <v xml:space="preserve"> </v>
      </c>
      <c r="B1181" s="33"/>
      <c r="C1181" s="35" t="str">
        <f>IFERROR(LOOKUP(D1181,SOCIO!B:B,SOCIO!A:A)," ")</f>
        <v xml:space="preserve"> </v>
      </c>
      <c r="D1181" s="9"/>
      <c r="E1181" s="34"/>
      <c r="F1181" s="35" t="str">
        <f>IFERROR(LOOKUP(E1181,CODIGOS!A:A,CODIGOS!B:B)," ")</f>
        <v xml:space="preserve"> </v>
      </c>
      <c r="G1181" s="9"/>
      <c r="H1181" s="36"/>
      <c r="I1181" s="34"/>
      <c r="J1181" s="38"/>
    </row>
    <row r="1182" spans="1:10">
      <c r="A1182" s="32" t="str">
        <f t="shared" si="10"/>
        <v xml:space="preserve"> </v>
      </c>
      <c r="B1182" s="33"/>
      <c r="C1182" s="35" t="str">
        <f>IFERROR(LOOKUP(D1182,SOCIO!B:B,SOCIO!A:A)," ")</f>
        <v xml:space="preserve"> </v>
      </c>
      <c r="D1182" s="9"/>
      <c r="E1182" s="34"/>
      <c r="F1182" s="35" t="str">
        <f>IFERROR(LOOKUP(E1182,CODIGOS!A:A,CODIGOS!B:B)," ")</f>
        <v xml:space="preserve"> </v>
      </c>
      <c r="G1182" s="9"/>
      <c r="H1182" s="36"/>
      <c r="I1182" s="34"/>
      <c r="J1182" s="38"/>
    </row>
    <row r="1183" spans="1:10">
      <c r="A1183" s="32" t="str">
        <f t="shared" si="10"/>
        <v xml:space="preserve"> </v>
      </c>
      <c r="B1183" s="33"/>
      <c r="C1183" s="35" t="str">
        <f>IFERROR(LOOKUP(D1183,SOCIO!B:B,SOCIO!A:A)," ")</f>
        <v xml:space="preserve"> </v>
      </c>
      <c r="D1183" s="9"/>
      <c r="E1183" s="34"/>
      <c r="F1183" s="35" t="str">
        <f>IFERROR(LOOKUP(E1183,CODIGOS!A:A,CODIGOS!B:B)," ")</f>
        <v xml:space="preserve"> </v>
      </c>
      <c r="G1183" s="9"/>
      <c r="H1183" s="36"/>
      <c r="I1183" s="34"/>
      <c r="J1183" s="38"/>
    </row>
    <row r="1184" spans="1:10">
      <c r="A1184" s="32" t="str">
        <f t="shared" si="10"/>
        <v xml:space="preserve"> </v>
      </c>
      <c r="B1184" s="33"/>
      <c r="C1184" s="35" t="str">
        <f>IFERROR(LOOKUP(D1184,SOCIO!B:B,SOCIO!A:A)," ")</f>
        <v xml:space="preserve"> </v>
      </c>
      <c r="D1184" s="9"/>
      <c r="E1184" s="34"/>
      <c r="F1184" s="35" t="str">
        <f>IFERROR(LOOKUP(E1184,CODIGOS!A:A,CODIGOS!B:B)," ")</f>
        <v xml:space="preserve"> </v>
      </c>
      <c r="G1184" s="9"/>
      <c r="H1184" s="36"/>
      <c r="I1184" s="34"/>
      <c r="J1184" s="38"/>
    </row>
    <row r="1185" spans="1:10">
      <c r="A1185" s="32" t="str">
        <f t="shared" si="10"/>
        <v xml:space="preserve"> </v>
      </c>
      <c r="B1185" s="33"/>
      <c r="C1185" s="35" t="str">
        <f>IFERROR(LOOKUP(D1185,SOCIO!B:B,SOCIO!A:A)," ")</f>
        <v xml:space="preserve"> </v>
      </c>
      <c r="D1185" s="9"/>
      <c r="E1185" s="34"/>
      <c r="F1185" s="35" t="str">
        <f>IFERROR(LOOKUP(E1185,CODIGOS!A:A,CODIGOS!B:B)," ")</f>
        <v xml:space="preserve"> </v>
      </c>
      <c r="G1185" s="9"/>
      <c r="H1185" s="36"/>
      <c r="I1185" s="34"/>
      <c r="J1185" s="38"/>
    </row>
    <row r="1186" spans="1:10">
      <c r="A1186" s="32" t="str">
        <f t="shared" si="10"/>
        <v xml:space="preserve"> </v>
      </c>
      <c r="B1186" s="33"/>
      <c r="C1186" s="35" t="str">
        <f>IFERROR(LOOKUP(D1186,SOCIO!B:B,SOCIO!A:A)," ")</f>
        <v xml:space="preserve"> </v>
      </c>
      <c r="D1186" s="9"/>
      <c r="E1186" s="34"/>
      <c r="F1186" s="35" t="str">
        <f>IFERROR(LOOKUP(E1186,CODIGOS!A:A,CODIGOS!B:B)," ")</f>
        <v xml:space="preserve"> </v>
      </c>
      <c r="G1186" s="9"/>
      <c r="H1186" s="36"/>
      <c r="I1186" s="34"/>
      <c r="J1186" s="38"/>
    </row>
    <row r="1187" spans="1:10">
      <c r="A1187" s="32" t="str">
        <f t="shared" si="10"/>
        <v xml:space="preserve"> </v>
      </c>
      <c r="B1187" s="33"/>
      <c r="C1187" s="35" t="str">
        <f>IFERROR(LOOKUP(D1187,SOCIO!B:B,SOCIO!A:A)," ")</f>
        <v xml:space="preserve"> </v>
      </c>
      <c r="D1187" s="9"/>
      <c r="E1187" s="34"/>
      <c r="F1187" s="35" t="str">
        <f>IFERROR(LOOKUP(E1187,CODIGOS!A:A,CODIGOS!B:B)," ")</f>
        <v xml:space="preserve"> </v>
      </c>
      <c r="G1187" s="9"/>
      <c r="H1187" s="36"/>
      <c r="I1187" s="34"/>
      <c r="J1187" s="38"/>
    </row>
    <row r="1188" spans="1:10">
      <c r="A1188" s="32" t="str">
        <f t="shared" si="10"/>
        <v xml:space="preserve"> </v>
      </c>
      <c r="B1188" s="33"/>
      <c r="C1188" s="35" t="str">
        <f>IFERROR(LOOKUP(D1188,SOCIO!B:B,SOCIO!A:A)," ")</f>
        <v xml:space="preserve"> </v>
      </c>
      <c r="D1188" s="9"/>
      <c r="E1188" s="34"/>
      <c r="F1188" s="35" t="str">
        <f>IFERROR(LOOKUP(E1188,CODIGOS!A:A,CODIGOS!B:B)," ")</f>
        <v xml:space="preserve"> </v>
      </c>
      <c r="G1188" s="9"/>
      <c r="H1188" s="36"/>
      <c r="I1188" s="34"/>
      <c r="J1188" s="38"/>
    </row>
    <row r="1189" spans="1:10">
      <c r="A1189" s="32" t="str">
        <f t="shared" si="10"/>
        <v xml:space="preserve"> </v>
      </c>
      <c r="B1189" s="33"/>
      <c r="C1189" s="35" t="str">
        <f>IFERROR(LOOKUP(D1189,SOCIO!B:B,SOCIO!A:A)," ")</f>
        <v xml:space="preserve"> </v>
      </c>
      <c r="D1189" s="9"/>
      <c r="E1189" s="34"/>
      <c r="F1189" s="35" t="str">
        <f>IFERROR(LOOKUP(E1189,CODIGOS!A:A,CODIGOS!B:B)," ")</f>
        <v xml:space="preserve"> </v>
      </c>
      <c r="G1189" s="9"/>
      <c r="H1189" s="36"/>
      <c r="I1189" s="34"/>
      <c r="J1189" s="38"/>
    </row>
    <row r="1190" spans="1:10">
      <c r="A1190" s="32" t="str">
        <f t="shared" si="10"/>
        <v xml:space="preserve"> </v>
      </c>
      <c r="B1190" s="33"/>
      <c r="C1190" s="35" t="str">
        <f>IFERROR(LOOKUP(D1190,SOCIO!B:B,SOCIO!A:A)," ")</f>
        <v xml:space="preserve"> </v>
      </c>
      <c r="D1190" s="9"/>
      <c r="E1190" s="34"/>
      <c r="F1190" s="35" t="str">
        <f>IFERROR(LOOKUP(E1190,CODIGOS!A:A,CODIGOS!B:B)," ")</f>
        <v xml:space="preserve"> </v>
      </c>
      <c r="G1190" s="9"/>
      <c r="H1190" s="36"/>
      <c r="I1190" s="34"/>
      <c r="J1190" s="38"/>
    </row>
    <row r="1191" spans="1:10">
      <c r="A1191" s="32" t="str">
        <f t="shared" si="10"/>
        <v xml:space="preserve"> </v>
      </c>
      <c r="B1191" s="33"/>
      <c r="C1191" s="35" t="str">
        <f>IFERROR(LOOKUP(D1191,SOCIO!B:B,SOCIO!A:A)," ")</f>
        <v xml:space="preserve"> </v>
      </c>
      <c r="D1191" s="9"/>
      <c r="E1191" s="34"/>
      <c r="F1191" s="35" t="str">
        <f>IFERROR(LOOKUP(E1191,CODIGOS!A:A,CODIGOS!B:B)," ")</f>
        <v xml:space="preserve"> </v>
      </c>
      <c r="G1191" s="9"/>
      <c r="H1191" s="36"/>
      <c r="I1191" s="34"/>
      <c r="J1191" s="38"/>
    </row>
    <row r="1192" spans="1:10">
      <c r="A1192" s="32" t="str">
        <f t="shared" si="10"/>
        <v xml:space="preserve"> </v>
      </c>
      <c r="B1192" s="33"/>
      <c r="C1192" s="35" t="str">
        <f>IFERROR(LOOKUP(D1192,SOCIO!B:B,SOCIO!A:A)," ")</f>
        <v xml:space="preserve"> </v>
      </c>
      <c r="D1192" s="9"/>
      <c r="E1192" s="34"/>
      <c r="F1192" s="35" t="str">
        <f>IFERROR(LOOKUP(E1192,CODIGOS!A:A,CODIGOS!B:B)," ")</f>
        <v xml:space="preserve"> </v>
      </c>
      <c r="G1192" s="9"/>
      <c r="H1192" s="36"/>
      <c r="I1192" s="34"/>
      <c r="J1192" s="38"/>
    </row>
    <row r="1193" spans="1:10">
      <c r="A1193" s="32" t="str">
        <f t="shared" si="10"/>
        <v xml:space="preserve"> </v>
      </c>
      <c r="B1193" s="33"/>
      <c r="C1193" s="35" t="str">
        <f>IFERROR(LOOKUP(D1193,SOCIO!B:B,SOCIO!A:A)," ")</f>
        <v xml:space="preserve"> </v>
      </c>
      <c r="D1193" s="9"/>
      <c r="E1193" s="34"/>
      <c r="F1193" s="35" t="str">
        <f>IFERROR(LOOKUP(E1193,CODIGOS!A:A,CODIGOS!B:B)," ")</f>
        <v xml:space="preserve"> </v>
      </c>
      <c r="G1193" s="9"/>
      <c r="H1193" s="36"/>
      <c r="I1193" s="34"/>
      <c r="J1193" s="38"/>
    </row>
    <row r="1194" spans="1:10">
      <c r="A1194" s="32" t="str">
        <f t="shared" si="10"/>
        <v xml:space="preserve"> </v>
      </c>
      <c r="B1194" s="33"/>
      <c r="C1194" s="35" t="str">
        <f>IFERROR(LOOKUP(D1194,SOCIO!B:B,SOCIO!A:A)," ")</f>
        <v xml:space="preserve"> </v>
      </c>
      <c r="D1194" s="9"/>
      <c r="E1194" s="34"/>
      <c r="F1194" s="35" t="str">
        <f>IFERROR(LOOKUP(E1194,CODIGOS!A:A,CODIGOS!B:B)," ")</f>
        <v xml:space="preserve"> </v>
      </c>
      <c r="G1194" s="9"/>
      <c r="H1194" s="36"/>
      <c r="I1194" s="34"/>
      <c r="J1194" s="38"/>
    </row>
    <row r="1195" spans="1:10">
      <c r="A1195" s="32" t="str">
        <f t="shared" si="10"/>
        <v xml:space="preserve"> </v>
      </c>
      <c r="B1195" s="33"/>
      <c r="C1195" s="35" t="str">
        <f>IFERROR(LOOKUP(D1195,SOCIO!B:B,SOCIO!A:A)," ")</f>
        <v xml:space="preserve"> </v>
      </c>
      <c r="D1195" s="9"/>
      <c r="E1195" s="34"/>
      <c r="F1195" s="35" t="str">
        <f>IFERROR(LOOKUP(E1195,CODIGOS!A:A,CODIGOS!B:B)," ")</f>
        <v xml:space="preserve"> </v>
      </c>
      <c r="G1195" s="9"/>
      <c r="H1195" s="36"/>
      <c r="I1195" s="34"/>
      <c r="J1195" s="38"/>
    </row>
    <row r="1196" spans="1:10">
      <c r="A1196" s="32" t="str">
        <f t="shared" si="10"/>
        <v xml:space="preserve"> </v>
      </c>
      <c r="B1196" s="33"/>
      <c r="C1196" s="35" t="str">
        <f>IFERROR(LOOKUP(D1196,SOCIO!B:B,SOCIO!A:A)," ")</f>
        <v xml:space="preserve"> </v>
      </c>
      <c r="D1196" s="9"/>
      <c r="E1196" s="34"/>
      <c r="F1196" s="35" t="str">
        <f>IFERROR(LOOKUP(E1196,CODIGOS!A:A,CODIGOS!B:B)," ")</f>
        <v xml:space="preserve"> </v>
      </c>
      <c r="G1196" s="9"/>
      <c r="H1196" s="36"/>
      <c r="I1196" s="34"/>
      <c r="J1196" s="38"/>
    </row>
    <row r="1197" spans="1:10">
      <c r="A1197" s="32" t="str">
        <f t="shared" si="10"/>
        <v xml:space="preserve"> </v>
      </c>
      <c r="B1197" s="33"/>
      <c r="C1197" s="35" t="str">
        <f>IFERROR(LOOKUP(D1197,SOCIO!B:B,SOCIO!A:A)," ")</f>
        <v xml:space="preserve"> </v>
      </c>
      <c r="D1197" s="9"/>
      <c r="E1197" s="34"/>
      <c r="F1197" s="35" t="str">
        <f>IFERROR(LOOKUP(E1197,CODIGOS!A:A,CODIGOS!B:B)," ")</f>
        <v xml:space="preserve"> </v>
      </c>
      <c r="G1197" s="9"/>
      <c r="H1197" s="36"/>
      <c r="I1197" s="34"/>
      <c r="J1197" s="38"/>
    </row>
    <row r="1198" spans="1:10">
      <c r="A1198" s="32" t="str">
        <f t="shared" si="10"/>
        <v xml:space="preserve"> </v>
      </c>
      <c r="B1198" s="33"/>
      <c r="C1198" s="35" t="str">
        <f>IFERROR(LOOKUP(D1198,SOCIO!B:B,SOCIO!A:A)," ")</f>
        <v xml:space="preserve"> </v>
      </c>
      <c r="D1198" s="9"/>
      <c r="E1198" s="34"/>
      <c r="F1198" s="35" t="str">
        <f>IFERROR(LOOKUP(E1198,CODIGOS!A:A,CODIGOS!B:B)," ")</f>
        <v xml:space="preserve"> </v>
      </c>
      <c r="G1198" s="9"/>
      <c r="H1198" s="36"/>
      <c r="I1198" s="34"/>
      <c r="J1198" s="38"/>
    </row>
    <row r="1199" spans="1:10">
      <c r="A1199" s="32" t="str">
        <f t="shared" ref="A1199:A1262" si="11">IF(B1199&lt;&gt;0,A1198+1," ")</f>
        <v xml:space="preserve"> </v>
      </c>
      <c r="B1199" s="33"/>
      <c r="C1199" s="35" t="str">
        <f>IFERROR(LOOKUP(D1199,SOCIO!B:B,SOCIO!A:A)," ")</f>
        <v xml:space="preserve"> </v>
      </c>
      <c r="D1199" s="9"/>
      <c r="E1199" s="34"/>
      <c r="F1199" s="35" t="str">
        <f>IFERROR(LOOKUP(E1199,CODIGOS!A:A,CODIGOS!B:B)," ")</f>
        <v xml:space="preserve"> </v>
      </c>
      <c r="G1199" s="9"/>
      <c r="H1199" s="36"/>
      <c r="I1199" s="34"/>
      <c r="J1199" s="38"/>
    </row>
    <row r="1200" spans="1:10">
      <c r="A1200" s="32" t="str">
        <f t="shared" si="11"/>
        <v xml:space="preserve"> </v>
      </c>
      <c r="B1200" s="33"/>
      <c r="C1200" s="35" t="str">
        <f>IFERROR(LOOKUP(D1200,SOCIO!B:B,SOCIO!A:A)," ")</f>
        <v xml:space="preserve"> </v>
      </c>
      <c r="D1200" s="9"/>
      <c r="E1200" s="34"/>
      <c r="F1200" s="35" t="str">
        <f>IFERROR(LOOKUP(E1200,CODIGOS!A:A,CODIGOS!B:B)," ")</f>
        <v xml:space="preserve"> </v>
      </c>
      <c r="G1200" s="9"/>
      <c r="H1200" s="36"/>
      <c r="I1200" s="34"/>
      <c r="J1200" s="38"/>
    </row>
    <row r="1201" spans="1:10">
      <c r="A1201" s="32" t="str">
        <f t="shared" si="11"/>
        <v xml:space="preserve"> </v>
      </c>
      <c r="B1201" s="33"/>
      <c r="C1201" s="35" t="str">
        <f>IFERROR(LOOKUP(D1201,SOCIO!B:B,SOCIO!A:A)," ")</f>
        <v xml:space="preserve"> </v>
      </c>
      <c r="D1201" s="9"/>
      <c r="E1201" s="34"/>
      <c r="F1201" s="35" t="str">
        <f>IFERROR(LOOKUP(E1201,CODIGOS!A:A,CODIGOS!B:B)," ")</f>
        <v xml:space="preserve"> </v>
      </c>
      <c r="G1201" s="9"/>
      <c r="H1201" s="36"/>
      <c r="I1201" s="34"/>
      <c r="J1201" s="38"/>
    </row>
    <row r="1202" spans="1:10">
      <c r="A1202" s="32" t="str">
        <f t="shared" si="11"/>
        <v xml:space="preserve"> </v>
      </c>
      <c r="B1202" s="33"/>
      <c r="C1202" s="35" t="str">
        <f>IFERROR(LOOKUP(D1202,SOCIO!B:B,SOCIO!A:A)," ")</f>
        <v xml:space="preserve"> </v>
      </c>
      <c r="D1202" s="9"/>
      <c r="E1202" s="34"/>
      <c r="F1202" s="35" t="str">
        <f>IFERROR(LOOKUP(E1202,CODIGOS!A:A,CODIGOS!B:B)," ")</f>
        <v xml:space="preserve"> </v>
      </c>
      <c r="G1202" s="9"/>
      <c r="H1202" s="36"/>
      <c r="I1202" s="34"/>
      <c r="J1202" s="38"/>
    </row>
    <row r="1203" spans="1:10">
      <c r="A1203" s="32" t="str">
        <f t="shared" si="11"/>
        <v xml:space="preserve"> </v>
      </c>
      <c r="B1203" s="33"/>
      <c r="C1203" s="35" t="str">
        <f>IFERROR(LOOKUP(D1203,SOCIO!B:B,SOCIO!A:A)," ")</f>
        <v xml:space="preserve"> </v>
      </c>
      <c r="D1203" s="9"/>
      <c r="E1203" s="34"/>
      <c r="F1203" s="35" t="str">
        <f>IFERROR(LOOKUP(E1203,CODIGOS!A:A,CODIGOS!B:B)," ")</f>
        <v xml:space="preserve"> </v>
      </c>
      <c r="G1203" s="9"/>
      <c r="H1203" s="36"/>
      <c r="I1203" s="34"/>
      <c r="J1203" s="38"/>
    </row>
    <row r="1204" spans="1:10">
      <c r="A1204" s="32" t="str">
        <f t="shared" si="11"/>
        <v xml:space="preserve"> </v>
      </c>
      <c r="B1204" s="33"/>
      <c r="C1204" s="35" t="str">
        <f>IFERROR(LOOKUP(D1204,SOCIO!B:B,SOCIO!A:A)," ")</f>
        <v xml:space="preserve"> </v>
      </c>
      <c r="D1204" s="9"/>
      <c r="E1204" s="34"/>
      <c r="F1204" s="35" t="str">
        <f>IFERROR(LOOKUP(E1204,CODIGOS!A:A,CODIGOS!B:B)," ")</f>
        <v xml:space="preserve"> </v>
      </c>
      <c r="G1204" s="9"/>
      <c r="H1204" s="36"/>
      <c r="I1204" s="34"/>
      <c r="J1204" s="38"/>
    </row>
    <row r="1205" spans="1:10">
      <c r="A1205" s="32" t="str">
        <f t="shared" si="11"/>
        <v xml:space="preserve"> </v>
      </c>
      <c r="B1205" s="33"/>
      <c r="C1205" s="35" t="str">
        <f>IFERROR(LOOKUP(D1205,SOCIO!B:B,SOCIO!A:A)," ")</f>
        <v xml:space="preserve"> </v>
      </c>
      <c r="D1205" s="9"/>
      <c r="E1205" s="34"/>
      <c r="F1205" s="35" t="str">
        <f>IFERROR(LOOKUP(E1205,CODIGOS!A:A,CODIGOS!B:B)," ")</f>
        <v xml:space="preserve"> </v>
      </c>
      <c r="G1205" s="9"/>
      <c r="H1205" s="36"/>
      <c r="I1205" s="34"/>
      <c r="J1205" s="38"/>
    </row>
    <row r="1206" spans="1:10">
      <c r="A1206" s="32" t="str">
        <f t="shared" si="11"/>
        <v xml:space="preserve"> </v>
      </c>
      <c r="B1206" s="33"/>
      <c r="C1206" s="35" t="str">
        <f>IFERROR(LOOKUP(D1206,SOCIO!B:B,SOCIO!A:A)," ")</f>
        <v xml:space="preserve"> </v>
      </c>
      <c r="D1206" s="9"/>
      <c r="E1206" s="34"/>
      <c r="F1206" s="35" t="str">
        <f>IFERROR(LOOKUP(E1206,CODIGOS!A:A,CODIGOS!B:B)," ")</f>
        <v xml:space="preserve"> </v>
      </c>
      <c r="G1206" s="9"/>
      <c r="H1206" s="36"/>
      <c r="I1206" s="34"/>
      <c r="J1206" s="38"/>
    </row>
    <row r="1207" spans="1:10">
      <c r="A1207" s="32" t="str">
        <f t="shared" si="11"/>
        <v xml:space="preserve"> </v>
      </c>
      <c r="B1207" s="33"/>
      <c r="C1207" s="35" t="str">
        <f>IFERROR(LOOKUP(D1207,SOCIO!B:B,SOCIO!A:A)," ")</f>
        <v xml:space="preserve"> </v>
      </c>
      <c r="D1207" s="9"/>
      <c r="E1207" s="34"/>
      <c r="F1207" s="35" t="str">
        <f>IFERROR(LOOKUP(E1207,CODIGOS!A:A,CODIGOS!B:B)," ")</f>
        <v xml:space="preserve"> </v>
      </c>
      <c r="G1207" s="9"/>
      <c r="H1207" s="36"/>
      <c r="I1207" s="34"/>
      <c r="J1207" s="38"/>
    </row>
    <row r="1208" spans="1:10">
      <c r="A1208" s="32" t="str">
        <f t="shared" si="11"/>
        <v xml:space="preserve"> </v>
      </c>
      <c r="B1208" s="33"/>
      <c r="C1208" s="35" t="str">
        <f>IFERROR(LOOKUP(D1208,SOCIO!B:B,SOCIO!A:A)," ")</f>
        <v xml:space="preserve"> </v>
      </c>
      <c r="D1208" s="9"/>
      <c r="E1208" s="34"/>
      <c r="F1208" s="35" t="str">
        <f>IFERROR(LOOKUP(E1208,CODIGOS!A:A,CODIGOS!B:B)," ")</f>
        <v xml:space="preserve"> </v>
      </c>
      <c r="G1208" s="9"/>
      <c r="H1208" s="36"/>
      <c r="I1208" s="34"/>
      <c r="J1208" s="38"/>
    </row>
    <row r="1209" spans="1:10">
      <c r="A1209" s="32" t="str">
        <f t="shared" si="11"/>
        <v xml:space="preserve"> </v>
      </c>
      <c r="B1209" s="33"/>
      <c r="C1209" s="35" t="str">
        <f>IFERROR(LOOKUP(D1209,SOCIO!B:B,SOCIO!A:A)," ")</f>
        <v xml:space="preserve"> </v>
      </c>
      <c r="D1209" s="9"/>
      <c r="E1209" s="34"/>
      <c r="F1209" s="35" t="str">
        <f>IFERROR(LOOKUP(E1209,CODIGOS!A:A,CODIGOS!B:B)," ")</f>
        <v xml:space="preserve"> </v>
      </c>
      <c r="G1209" s="9"/>
      <c r="H1209" s="36"/>
      <c r="I1209" s="34"/>
      <c r="J1209" s="38"/>
    </row>
    <row r="1210" spans="1:10">
      <c r="A1210" s="32" t="str">
        <f t="shared" si="11"/>
        <v xml:space="preserve"> </v>
      </c>
      <c r="B1210" s="33"/>
      <c r="C1210" s="35" t="str">
        <f>IFERROR(LOOKUP(D1210,SOCIO!B:B,SOCIO!A:A)," ")</f>
        <v xml:space="preserve"> </v>
      </c>
      <c r="D1210" s="9"/>
      <c r="E1210" s="34"/>
      <c r="F1210" s="35" t="str">
        <f>IFERROR(LOOKUP(E1210,CODIGOS!A:A,CODIGOS!B:B)," ")</f>
        <v xml:space="preserve"> </v>
      </c>
      <c r="G1210" s="9"/>
      <c r="H1210" s="36"/>
      <c r="I1210" s="34"/>
      <c r="J1210" s="38"/>
    </row>
    <row r="1211" spans="1:10">
      <c r="A1211" s="32" t="str">
        <f t="shared" si="11"/>
        <v xml:space="preserve"> </v>
      </c>
      <c r="B1211" s="33"/>
      <c r="C1211" s="35" t="str">
        <f>IFERROR(LOOKUP(D1211,SOCIO!B:B,SOCIO!A:A)," ")</f>
        <v xml:space="preserve"> </v>
      </c>
      <c r="D1211" s="9"/>
      <c r="E1211" s="34"/>
      <c r="F1211" s="35" t="str">
        <f>IFERROR(LOOKUP(E1211,CODIGOS!A:A,CODIGOS!B:B)," ")</f>
        <v xml:space="preserve"> </v>
      </c>
      <c r="G1211" s="9"/>
      <c r="H1211" s="36"/>
      <c r="I1211" s="34"/>
      <c r="J1211" s="38"/>
    </row>
    <row r="1212" spans="1:10">
      <c r="A1212" s="32" t="str">
        <f t="shared" si="11"/>
        <v xml:space="preserve"> </v>
      </c>
      <c r="B1212" s="33"/>
      <c r="C1212" s="35" t="str">
        <f>IFERROR(LOOKUP(D1212,SOCIO!B:B,SOCIO!A:A)," ")</f>
        <v xml:space="preserve"> </v>
      </c>
      <c r="D1212" s="9"/>
      <c r="E1212" s="34"/>
      <c r="F1212" s="35" t="str">
        <f>IFERROR(LOOKUP(E1212,CODIGOS!A:A,CODIGOS!B:B)," ")</f>
        <v xml:space="preserve"> </v>
      </c>
      <c r="G1212" s="9"/>
      <c r="H1212" s="36"/>
      <c r="I1212" s="34"/>
      <c r="J1212" s="38"/>
    </row>
    <row r="1213" spans="1:10">
      <c r="A1213" s="32" t="str">
        <f t="shared" si="11"/>
        <v xml:space="preserve"> </v>
      </c>
      <c r="B1213" s="33"/>
      <c r="C1213" s="35" t="str">
        <f>IFERROR(LOOKUP(D1213,SOCIO!B:B,SOCIO!A:A)," ")</f>
        <v xml:space="preserve"> </v>
      </c>
      <c r="D1213" s="9"/>
      <c r="E1213" s="34"/>
      <c r="F1213" s="35" t="str">
        <f>IFERROR(LOOKUP(E1213,CODIGOS!A:A,CODIGOS!B:B)," ")</f>
        <v xml:space="preserve"> </v>
      </c>
      <c r="G1213" s="9"/>
      <c r="H1213" s="36"/>
      <c r="I1213" s="34"/>
      <c r="J1213" s="38"/>
    </row>
    <row r="1214" spans="1:10">
      <c r="A1214" s="32" t="str">
        <f t="shared" si="11"/>
        <v xml:space="preserve"> </v>
      </c>
      <c r="B1214" s="33"/>
      <c r="C1214" s="35" t="str">
        <f>IFERROR(LOOKUP(D1214,SOCIO!B:B,SOCIO!A:A)," ")</f>
        <v xml:space="preserve"> </v>
      </c>
      <c r="D1214" s="9"/>
      <c r="E1214" s="34"/>
      <c r="F1214" s="35" t="str">
        <f>IFERROR(LOOKUP(E1214,CODIGOS!A:A,CODIGOS!B:B)," ")</f>
        <v xml:space="preserve"> </v>
      </c>
      <c r="G1214" s="9"/>
      <c r="H1214" s="36"/>
      <c r="I1214" s="34"/>
      <c r="J1214" s="38"/>
    </row>
    <row r="1215" spans="1:10">
      <c r="A1215" s="32" t="str">
        <f t="shared" si="11"/>
        <v xml:space="preserve"> </v>
      </c>
      <c r="B1215" s="33"/>
      <c r="C1215" s="35" t="str">
        <f>IFERROR(LOOKUP(D1215,SOCIO!B:B,SOCIO!A:A)," ")</f>
        <v xml:space="preserve"> </v>
      </c>
      <c r="D1215" s="9"/>
      <c r="E1215" s="34"/>
      <c r="F1215" s="35" t="str">
        <f>IFERROR(LOOKUP(E1215,CODIGOS!A:A,CODIGOS!B:B)," ")</f>
        <v xml:space="preserve"> </v>
      </c>
      <c r="G1215" s="9"/>
      <c r="H1215" s="36"/>
      <c r="I1215" s="34"/>
      <c r="J1215" s="38"/>
    </row>
    <row r="1216" spans="1:10">
      <c r="A1216" s="32" t="str">
        <f t="shared" si="11"/>
        <v xml:space="preserve"> </v>
      </c>
      <c r="B1216" s="33"/>
      <c r="C1216" s="35" t="str">
        <f>IFERROR(LOOKUP(D1216,SOCIO!B:B,SOCIO!A:A)," ")</f>
        <v xml:space="preserve"> </v>
      </c>
      <c r="D1216" s="9"/>
      <c r="E1216" s="34"/>
      <c r="F1216" s="35" t="str">
        <f>IFERROR(LOOKUP(E1216,CODIGOS!A:A,CODIGOS!B:B)," ")</f>
        <v xml:space="preserve"> </v>
      </c>
      <c r="G1216" s="9"/>
      <c r="H1216" s="36"/>
      <c r="I1216" s="34"/>
      <c r="J1216" s="38"/>
    </row>
    <row r="1217" spans="1:10">
      <c r="A1217" s="32" t="str">
        <f t="shared" si="11"/>
        <v xml:space="preserve"> </v>
      </c>
      <c r="B1217" s="33"/>
      <c r="C1217" s="35" t="str">
        <f>IFERROR(LOOKUP(D1217,SOCIO!B:B,SOCIO!A:A)," ")</f>
        <v xml:space="preserve"> </v>
      </c>
      <c r="D1217" s="9"/>
      <c r="E1217" s="34"/>
      <c r="F1217" s="35" t="str">
        <f>IFERROR(LOOKUP(E1217,CODIGOS!A:A,CODIGOS!B:B)," ")</f>
        <v xml:space="preserve"> </v>
      </c>
      <c r="G1217" s="9"/>
      <c r="H1217" s="36"/>
      <c r="I1217" s="34"/>
      <c r="J1217" s="38"/>
    </row>
    <row r="1218" spans="1:10">
      <c r="A1218" s="32" t="str">
        <f t="shared" si="11"/>
        <v xml:space="preserve"> </v>
      </c>
      <c r="B1218" s="33"/>
      <c r="C1218" s="35" t="str">
        <f>IFERROR(LOOKUP(D1218,SOCIO!B:B,SOCIO!A:A)," ")</f>
        <v xml:space="preserve"> </v>
      </c>
      <c r="D1218" s="9"/>
      <c r="E1218" s="34"/>
      <c r="F1218" s="35" t="str">
        <f>IFERROR(LOOKUP(E1218,CODIGOS!A:A,CODIGOS!B:B)," ")</f>
        <v xml:space="preserve"> </v>
      </c>
      <c r="G1218" s="9"/>
      <c r="H1218" s="36"/>
      <c r="I1218" s="34"/>
      <c r="J1218" s="38"/>
    </row>
    <row r="1219" spans="1:10">
      <c r="A1219" s="32" t="str">
        <f t="shared" si="11"/>
        <v xml:space="preserve"> </v>
      </c>
      <c r="B1219" s="33"/>
      <c r="C1219" s="35" t="str">
        <f>IFERROR(LOOKUP(D1219,SOCIO!B:B,SOCIO!A:A)," ")</f>
        <v xml:space="preserve"> </v>
      </c>
      <c r="D1219" s="9"/>
      <c r="E1219" s="34"/>
      <c r="F1219" s="35" t="str">
        <f>IFERROR(LOOKUP(E1219,CODIGOS!A:A,CODIGOS!B:B)," ")</f>
        <v xml:space="preserve"> </v>
      </c>
      <c r="G1219" s="9"/>
      <c r="H1219" s="36"/>
      <c r="I1219" s="34"/>
      <c r="J1219" s="38"/>
    </row>
    <row r="1220" spans="1:10">
      <c r="A1220" s="32" t="str">
        <f t="shared" si="11"/>
        <v xml:space="preserve"> </v>
      </c>
      <c r="B1220" s="33"/>
      <c r="C1220" s="35" t="str">
        <f>IFERROR(LOOKUP(D1220,SOCIO!B:B,SOCIO!A:A)," ")</f>
        <v xml:space="preserve"> </v>
      </c>
      <c r="D1220" s="9"/>
      <c r="E1220" s="34"/>
      <c r="F1220" s="35" t="str">
        <f>IFERROR(LOOKUP(E1220,CODIGOS!A:A,CODIGOS!B:B)," ")</f>
        <v xml:space="preserve"> </v>
      </c>
      <c r="G1220" s="9"/>
      <c r="H1220" s="36"/>
      <c r="I1220" s="34"/>
      <c r="J1220" s="38"/>
    </row>
    <row r="1221" spans="1:10">
      <c r="A1221" s="32" t="str">
        <f t="shared" si="11"/>
        <v xml:space="preserve"> </v>
      </c>
      <c r="B1221" s="33"/>
      <c r="C1221" s="35" t="str">
        <f>IFERROR(LOOKUP(D1221,SOCIO!B:B,SOCIO!A:A)," ")</f>
        <v xml:space="preserve"> </v>
      </c>
      <c r="D1221" s="9"/>
      <c r="E1221" s="34"/>
      <c r="F1221" s="35" t="str">
        <f>IFERROR(LOOKUP(E1221,CODIGOS!A:A,CODIGOS!B:B)," ")</f>
        <v xml:space="preserve"> </v>
      </c>
      <c r="G1221" s="9"/>
      <c r="H1221" s="36"/>
      <c r="I1221" s="34"/>
      <c r="J1221" s="38"/>
    </row>
    <row r="1222" spans="1:10">
      <c r="A1222" s="32" t="str">
        <f t="shared" si="11"/>
        <v xml:space="preserve"> </v>
      </c>
      <c r="B1222" s="33"/>
      <c r="C1222" s="35" t="str">
        <f>IFERROR(LOOKUP(D1222,SOCIO!B:B,SOCIO!A:A)," ")</f>
        <v xml:space="preserve"> </v>
      </c>
      <c r="D1222" s="9"/>
      <c r="E1222" s="34"/>
      <c r="F1222" s="35" t="str">
        <f>IFERROR(LOOKUP(E1222,CODIGOS!A:A,CODIGOS!B:B)," ")</f>
        <v xml:space="preserve"> </v>
      </c>
      <c r="G1222" s="9"/>
      <c r="H1222" s="36"/>
      <c r="I1222" s="34"/>
      <c r="J1222" s="38"/>
    </row>
    <row r="1223" spans="1:10">
      <c r="A1223" s="32" t="str">
        <f t="shared" si="11"/>
        <v xml:space="preserve"> </v>
      </c>
      <c r="B1223" s="33"/>
      <c r="C1223" s="35" t="str">
        <f>IFERROR(LOOKUP(D1223,SOCIO!B:B,SOCIO!A:A)," ")</f>
        <v xml:space="preserve"> </v>
      </c>
      <c r="D1223" s="9"/>
      <c r="E1223" s="34"/>
      <c r="F1223" s="35" t="str">
        <f>IFERROR(LOOKUP(E1223,CODIGOS!A:A,CODIGOS!B:B)," ")</f>
        <v xml:space="preserve"> </v>
      </c>
      <c r="G1223" s="9"/>
      <c r="H1223" s="36"/>
      <c r="I1223" s="34"/>
      <c r="J1223" s="38"/>
    </row>
    <row r="1224" spans="1:10">
      <c r="A1224" s="32" t="str">
        <f t="shared" si="11"/>
        <v xml:space="preserve"> </v>
      </c>
      <c r="B1224" s="33"/>
      <c r="C1224" s="35" t="str">
        <f>IFERROR(LOOKUP(D1224,SOCIO!B:B,SOCIO!A:A)," ")</f>
        <v xml:space="preserve"> </v>
      </c>
      <c r="D1224" s="9"/>
      <c r="E1224" s="34"/>
      <c r="F1224" s="35" t="str">
        <f>IFERROR(LOOKUP(E1224,CODIGOS!A:A,CODIGOS!B:B)," ")</f>
        <v xml:space="preserve"> </v>
      </c>
      <c r="G1224" s="9"/>
      <c r="H1224" s="36"/>
      <c r="I1224" s="34"/>
      <c r="J1224" s="38"/>
    </row>
    <row r="1225" spans="1:10">
      <c r="A1225" s="32" t="str">
        <f t="shared" si="11"/>
        <v xml:space="preserve"> </v>
      </c>
      <c r="B1225" s="33"/>
      <c r="C1225" s="35" t="str">
        <f>IFERROR(LOOKUP(D1225,SOCIO!B:B,SOCIO!A:A)," ")</f>
        <v xml:space="preserve"> </v>
      </c>
      <c r="D1225" s="9"/>
      <c r="E1225" s="34"/>
      <c r="F1225" s="35" t="str">
        <f>IFERROR(LOOKUP(E1225,CODIGOS!A:A,CODIGOS!B:B)," ")</f>
        <v xml:space="preserve"> </v>
      </c>
      <c r="G1225" s="9"/>
      <c r="H1225" s="36"/>
      <c r="I1225" s="34"/>
      <c r="J1225" s="38"/>
    </row>
    <row r="1226" spans="1:10">
      <c r="A1226" s="32" t="str">
        <f t="shared" si="11"/>
        <v xml:space="preserve"> </v>
      </c>
      <c r="B1226" s="33"/>
      <c r="C1226" s="35" t="str">
        <f>IFERROR(LOOKUP(D1226,SOCIO!B:B,SOCIO!A:A)," ")</f>
        <v xml:space="preserve"> </v>
      </c>
      <c r="D1226" s="9"/>
      <c r="E1226" s="34"/>
      <c r="F1226" s="35" t="str">
        <f>IFERROR(LOOKUP(E1226,CODIGOS!A:A,CODIGOS!B:B)," ")</f>
        <v xml:space="preserve"> </v>
      </c>
      <c r="G1226" s="9"/>
      <c r="H1226" s="36"/>
      <c r="I1226" s="34"/>
      <c r="J1226" s="38"/>
    </row>
    <row r="1227" spans="1:10">
      <c r="A1227" s="32" t="str">
        <f t="shared" si="11"/>
        <v xml:space="preserve"> </v>
      </c>
      <c r="B1227" s="33"/>
      <c r="C1227" s="35" t="str">
        <f>IFERROR(LOOKUP(D1227,SOCIO!B:B,SOCIO!A:A)," ")</f>
        <v xml:space="preserve"> </v>
      </c>
      <c r="D1227" s="9"/>
      <c r="E1227" s="34"/>
      <c r="F1227" s="35" t="str">
        <f>IFERROR(LOOKUP(E1227,CODIGOS!A:A,CODIGOS!B:B)," ")</f>
        <v xml:space="preserve"> </v>
      </c>
      <c r="G1227" s="9"/>
      <c r="H1227" s="36"/>
      <c r="I1227" s="34"/>
      <c r="J1227" s="38"/>
    </row>
    <row r="1228" spans="1:10">
      <c r="A1228" s="32" t="str">
        <f t="shared" si="11"/>
        <v xml:space="preserve"> </v>
      </c>
      <c r="B1228" s="33"/>
      <c r="C1228" s="35" t="str">
        <f>IFERROR(LOOKUP(D1228,SOCIO!B:B,SOCIO!A:A)," ")</f>
        <v xml:space="preserve"> </v>
      </c>
      <c r="D1228" s="9"/>
      <c r="E1228" s="34"/>
      <c r="F1228" s="35" t="str">
        <f>IFERROR(LOOKUP(E1228,CODIGOS!A:A,CODIGOS!B:B)," ")</f>
        <v xml:space="preserve"> </v>
      </c>
      <c r="G1228" s="9"/>
      <c r="H1228" s="36"/>
      <c r="I1228" s="34"/>
      <c r="J1228" s="38"/>
    </row>
    <row r="1229" spans="1:10">
      <c r="A1229" s="32" t="str">
        <f t="shared" si="11"/>
        <v xml:space="preserve"> </v>
      </c>
      <c r="B1229" s="33"/>
      <c r="C1229" s="35" t="str">
        <f>IFERROR(LOOKUP(D1229,SOCIO!B:B,SOCIO!A:A)," ")</f>
        <v xml:space="preserve"> </v>
      </c>
      <c r="D1229" s="9"/>
      <c r="E1229" s="34"/>
      <c r="F1229" s="35" t="str">
        <f>IFERROR(LOOKUP(E1229,CODIGOS!A:A,CODIGOS!B:B)," ")</f>
        <v xml:space="preserve"> </v>
      </c>
      <c r="G1229" s="9"/>
      <c r="H1229" s="36"/>
      <c r="I1229" s="34"/>
      <c r="J1229" s="38"/>
    </row>
    <row r="1230" spans="1:10">
      <c r="A1230" s="32" t="str">
        <f t="shared" si="11"/>
        <v xml:space="preserve"> </v>
      </c>
      <c r="B1230" s="33"/>
      <c r="C1230" s="35" t="str">
        <f>IFERROR(LOOKUP(D1230,SOCIO!B:B,SOCIO!A:A)," ")</f>
        <v xml:space="preserve"> </v>
      </c>
      <c r="D1230" s="9"/>
      <c r="E1230" s="34"/>
      <c r="F1230" s="35" t="str">
        <f>IFERROR(LOOKUP(E1230,CODIGOS!A:A,CODIGOS!B:B)," ")</f>
        <v xml:space="preserve"> </v>
      </c>
      <c r="G1230" s="9"/>
      <c r="H1230" s="36"/>
      <c r="I1230" s="34"/>
      <c r="J1230" s="38"/>
    </row>
    <row r="1231" spans="1:10">
      <c r="A1231" s="32" t="str">
        <f t="shared" si="11"/>
        <v xml:space="preserve"> </v>
      </c>
      <c r="B1231" s="33"/>
      <c r="C1231" s="35" t="str">
        <f>IFERROR(LOOKUP(D1231,SOCIO!B:B,SOCIO!A:A)," ")</f>
        <v xml:space="preserve"> </v>
      </c>
      <c r="D1231" s="9"/>
      <c r="E1231" s="34"/>
      <c r="F1231" s="35" t="str">
        <f>IFERROR(LOOKUP(E1231,CODIGOS!A:A,CODIGOS!B:B)," ")</f>
        <v xml:space="preserve"> </v>
      </c>
      <c r="G1231" s="9"/>
      <c r="H1231" s="36"/>
      <c r="I1231" s="34"/>
      <c r="J1231" s="38"/>
    </row>
    <row r="1232" spans="1:10">
      <c r="A1232" s="32" t="str">
        <f t="shared" si="11"/>
        <v xml:space="preserve"> </v>
      </c>
      <c r="B1232" s="33"/>
      <c r="C1232" s="35" t="str">
        <f>IFERROR(LOOKUP(D1232,SOCIO!B:B,SOCIO!A:A)," ")</f>
        <v xml:space="preserve"> </v>
      </c>
      <c r="D1232" s="9"/>
      <c r="E1232" s="34"/>
      <c r="F1232" s="35" t="str">
        <f>IFERROR(LOOKUP(E1232,CODIGOS!A:A,CODIGOS!B:B)," ")</f>
        <v xml:space="preserve"> </v>
      </c>
      <c r="G1232" s="9"/>
      <c r="H1232" s="36"/>
      <c r="I1232" s="34"/>
      <c r="J1232" s="38"/>
    </row>
    <row r="1233" spans="1:10">
      <c r="A1233" s="32" t="str">
        <f t="shared" si="11"/>
        <v xml:space="preserve"> </v>
      </c>
      <c r="B1233" s="33"/>
      <c r="C1233" s="35" t="str">
        <f>IFERROR(LOOKUP(D1233,SOCIO!B:B,SOCIO!A:A)," ")</f>
        <v xml:space="preserve"> </v>
      </c>
      <c r="D1233" s="9"/>
      <c r="E1233" s="34"/>
      <c r="F1233" s="35" t="str">
        <f>IFERROR(LOOKUP(E1233,CODIGOS!A:A,CODIGOS!B:B)," ")</f>
        <v xml:space="preserve"> </v>
      </c>
      <c r="G1233" s="9"/>
      <c r="H1233" s="36"/>
      <c r="I1233" s="34"/>
      <c r="J1233" s="38"/>
    </row>
    <row r="1234" spans="1:10">
      <c r="A1234" s="32" t="str">
        <f t="shared" si="11"/>
        <v xml:space="preserve"> </v>
      </c>
      <c r="B1234" s="33"/>
      <c r="C1234" s="35" t="str">
        <f>IFERROR(LOOKUP(D1234,SOCIO!B:B,SOCIO!A:A)," ")</f>
        <v xml:space="preserve"> </v>
      </c>
      <c r="D1234" s="9"/>
      <c r="E1234" s="34"/>
      <c r="F1234" s="35" t="str">
        <f>IFERROR(LOOKUP(E1234,CODIGOS!A:A,CODIGOS!B:B)," ")</f>
        <v xml:space="preserve"> </v>
      </c>
      <c r="G1234" s="9"/>
      <c r="H1234" s="36"/>
      <c r="I1234" s="34"/>
      <c r="J1234" s="38"/>
    </row>
    <row r="1235" spans="1:10">
      <c r="A1235" s="32" t="str">
        <f t="shared" si="11"/>
        <v xml:space="preserve"> </v>
      </c>
      <c r="B1235" s="33"/>
      <c r="C1235" s="35" t="str">
        <f>IFERROR(LOOKUP(D1235,SOCIO!B:B,SOCIO!A:A)," ")</f>
        <v xml:space="preserve"> </v>
      </c>
      <c r="D1235" s="9"/>
      <c r="E1235" s="34"/>
      <c r="F1235" s="35" t="str">
        <f>IFERROR(LOOKUP(E1235,CODIGOS!A:A,CODIGOS!B:B)," ")</f>
        <v xml:space="preserve"> </v>
      </c>
      <c r="G1235" s="9"/>
      <c r="H1235" s="36"/>
      <c r="I1235" s="34"/>
      <c r="J1235" s="38"/>
    </row>
    <row r="1236" spans="1:10">
      <c r="A1236" s="32" t="str">
        <f t="shared" si="11"/>
        <v xml:space="preserve"> </v>
      </c>
      <c r="B1236" s="33"/>
      <c r="C1236" s="35" t="str">
        <f>IFERROR(LOOKUP(D1236,SOCIO!B:B,SOCIO!A:A)," ")</f>
        <v xml:space="preserve"> </v>
      </c>
      <c r="D1236" s="9"/>
      <c r="E1236" s="34"/>
      <c r="F1236" s="35" t="str">
        <f>IFERROR(LOOKUP(E1236,CODIGOS!A:A,CODIGOS!B:B)," ")</f>
        <v xml:space="preserve"> </v>
      </c>
      <c r="G1236" s="9"/>
      <c r="H1236" s="36"/>
      <c r="I1236" s="34"/>
      <c r="J1236" s="38"/>
    </row>
    <row r="1237" spans="1:10">
      <c r="A1237" s="32" t="str">
        <f t="shared" si="11"/>
        <v xml:space="preserve"> </v>
      </c>
      <c r="B1237" s="33"/>
      <c r="C1237" s="35" t="str">
        <f>IFERROR(LOOKUP(D1237,SOCIO!B:B,SOCIO!A:A)," ")</f>
        <v xml:space="preserve"> </v>
      </c>
      <c r="D1237" s="9"/>
      <c r="E1237" s="34"/>
      <c r="F1237" s="35" t="str">
        <f>IFERROR(LOOKUP(E1237,CODIGOS!A:A,CODIGOS!B:B)," ")</f>
        <v xml:space="preserve"> </v>
      </c>
      <c r="G1237" s="9"/>
      <c r="H1237" s="36"/>
      <c r="I1237" s="34"/>
      <c r="J1237" s="38"/>
    </row>
    <row r="1238" spans="1:10">
      <c r="A1238" s="32" t="str">
        <f t="shared" si="11"/>
        <v xml:space="preserve"> </v>
      </c>
      <c r="B1238" s="33"/>
      <c r="C1238" s="35" t="str">
        <f>IFERROR(LOOKUP(D1238,SOCIO!B:B,SOCIO!A:A)," ")</f>
        <v xml:space="preserve"> </v>
      </c>
      <c r="D1238" s="9"/>
      <c r="E1238" s="34"/>
      <c r="F1238" s="35" t="str">
        <f>IFERROR(LOOKUP(E1238,CODIGOS!A:A,CODIGOS!B:B)," ")</f>
        <v xml:space="preserve"> </v>
      </c>
      <c r="G1238" s="9"/>
      <c r="H1238" s="36"/>
      <c r="I1238" s="34"/>
      <c r="J1238" s="38"/>
    </row>
    <row r="1239" spans="1:10">
      <c r="A1239" s="32" t="str">
        <f t="shared" si="11"/>
        <v xml:space="preserve"> </v>
      </c>
      <c r="B1239" s="33"/>
      <c r="C1239" s="35" t="str">
        <f>IFERROR(LOOKUP(D1239,SOCIO!B:B,SOCIO!A:A)," ")</f>
        <v xml:space="preserve"> </v>
      </c>
      <c r="D1239" s="9"/>
      <c r="E1239" s="34"/>
      <c r="F1239" s="35" t="str">
        <f>IFERROR(LOOKUP(E1239,CODIGOS!A:A,CODIGOS!B:B)," ")</f>
        <v xml:space="preserve"> </v>
      </c>
      <c r="G1239" s="9"/>
      <c r="H1239" s="36"/>
      <c r="I1239" s="34"/>
      <c r="J1239" s="38"/>
    </row>
    <row r="1240" spans="1:10">
      <c r="A1240" s="32" t="str">
        <f t="shared" si="11"/>
        <v xml:space="preserve"> </v>
      </c>
      <c r="B1240" s="33"/>
      <c r="C1240" s="35" t="str">
        <f>IFERROR(LOOKUP(D1240,SOCIO!B:B,SOCIO!A:A)," ")</f>
        <v xml:space="preserve"> </v>
      </c>
      <c r="D1240" s="9"/>
      <c r="E1240" s="34"/>
      <c r="F1240" s="35" t="str">
        <f>IFERROR(LOOKUP(E1240,CODIGOS!A:A,CODIGOS!B:B)," ")</f>
        <v xml:space="preserve"> </v>
      </c>
      <c r="G1240" s="9"/>
      <c r="H1240" s="36"/>
      <c r="I1240" s="34"/>
      <c r="J1240" s="38"/>
    </row>
    <row r="1241" spans="1:10">
      <c r="A1241" s="32" t="str">
        <f t="shared" si="11"/>
        <v xml:space="preserve"> </v>
      </c>
      <c r="B1241" s="33"/>
      <c r="C1241" s="35" t="str">
        <f>IFERROR(LOOKUP(D1241,SOCIO!B:B,SOCIO!A:A)," ")</f>
        <v xml:space="preserve"> </v>
      </c>
      <c r="D1241" s="9"/>
      <c r="E1241" s="34"/>
      <c r="F1241" s="35" t="str">
        <f>IFERROR(LOOKUP(E1241,CODIGOS!A:A,CODIGOS!B:B)," ")</f>
        <v xml:space="preserve"> </v>
      </c>
      <c r="G1241" s="9"/>
      <c r="H1241" s="36"/>
      <c r="I1241" s="34"/>
      <c r="J1241" s="38"/>
    </row>
    <row r="1242" spans="1:10">
      <c r="A1242" s="32" t="str">
        <f t="shared" si="11"/>
        <v xml:space="preserve"> </v>
      </c>
      <c r="B1242" s="33"/>
      <c r="C1242" s="35" t="str">
        <f>IFERROR(LOOKUP(D1242,SOCIO!B:B,SOCIO!A:A)," ")</f>
        <v xml:space="preserve"> </v>
      </c>
      <c r="D1242" s="9"/>
      <c r="E1242" s="34"/>
      <c r="F1242" s="35" t="str">
        <f>IFERROR(LOOKUP(E1242,CODIGOS!A:A,CODIGOS!B:B)," ")</f>
        <v xml:space="preserve"> </v>
      </c>
      <c r="G1242" s="9"/>
      <c r="H1242" s="36"/>
      <c r="I1242" s="34"/>
      <c r="J1242" s="38"/>
    </row>
    <row r="1243" spans="1:10">
      <c r="A1243" s="32" t="str">
        <f t="shared" si="11"/>
        <v xml:space="preserve"> </v>
      </c>
      <c r="B1243" s="33"/>
      <c r="C1243" s="35" t="str">
        <f>IFERROR(LOOKUP(D1243,SOCIO!B:B,SOCIO!A:A)," ")</f>
        <v xml:space="preserve"> </v>
      </c>
      <c r="D1243" s="9"/>
      <c r="E1243" s="34"/>
      <c r="F1243" s="35" t="str">
        <f>IFERROR(LOOKUP(E1243,CODIGOS!A:A,CODIGOS!B:B)," ")</f>
        <v xml:space="preserve"> </v>
      </c>
      <c r="G1243" s="9"/>
      <c r="H1243" s="36"/>
      <c r="I1243" s="34"/>
      <c r="J1243" s="38"/>
    </row>
    <row r="1244" spans="1:10">
      <c r="A1244" s="32" t="str">
        <f t="shared" si="11"/>
        <v xml:space="preserve"> </v>
      </c>
      <c r="B1244" s="33"/>
      <c r="C1244" s="35" t="str">
        <f>IFERROR(LOOKUP(D1244,SOCIO!B:B,SOCIO!A:A)," ")</f>
        <v xml:space="preserve"> </v>
      </c>
      <c r="D1244" s="9"/>
      <c r="E1244" s="34"/>
      <c r="F1244" s="35" t="str">
        <f>IFERROR(LOOKUP(E1244,CODIGOS!A:A,CODIGOS!B:B)," ")</f>
        <v xml:space="preserve"> </v>
      </c>
      <c r="G1244" s="9"/>
      <c r="H1244" s="36"/>
      <c r="I1244" s="34"/>
      <c r="J1244" s="38"/>
    </row>
    <row r="1245" spans="1:10">
      <c r="A1245" s="32" t="str">
        <f t="shared" si="11"/>
        <v xml:space="preserve"> </v>
      </c>
      <c r="B1245" s="33"/>
      <c r="C1245" s="35" t="str">
        <f>IFERROR(LOOKUP(D1245,SOCIO!B:B,SOCIO!A:A)," ")</f>
        <v xml:space="preserve"> </v>
      </c>
      <c r="D1245" s="9"/>
      <c r="E1245" s="34"/>
      <c r="F1245" s="35" t="str">
        <f>IFERROR(LOOKUP(E1245,CODIGOS!A:A,CODIGOS!B:B)," ")</f>
        <v xml:space="preserve"> </v>
      </c>
      <c r="G1245" s="9"/>
      <c r="H1245" s="36"/>
      <c r="I1245" s="34"/>
      <c r="J1245" s="38"/>
    </row>
    <row r="1246" spans="1:10">
      <c r="A1246" s="32" t="str">
        <f t="shared" si="11"/>
        <v xml:space="preserve"> </v>
      </c>
      <c r="B1246" s="33"/>
      <c r="C1246" s="35" t="str">
        <f>IFERROR(LOOKUP(D1246,SOCIO!B:B,SOCIO!A:A)," ")</f>
        <v xml:space="preserve"> </v>
      </c>
      <c r="D1246" s="9"/>
      <c r="E1246" s="34"/>
      <c r="F1246" s="35" t="str">
        <f>IFERROR(LOOKUP(E1246,CODIGOS!A:A,CODIGOS!B:B)," ")</f>
        <v xml:space="preserve"> </v>
      </c>
      <c r="G1246" s="9"/>
      <c r="H1246" s="36"/>
      <c r="I1246" s="34"/>
      <c r="J1246" s="38"/>
    </row>
    <row r="1247" spans="1:10">
      <c r="A1247" s="32" t="str">
        <f t="shared" si="11"/>
        <v xml:space="preserve"> </v>
      </c>
      <c r="B1247" s="33"/>
      <c r="C1247" s="35" t="str">
        <f>IFERROR(LOOKUP(D1247,SOCIO!B:B,SOCIO!A:A)," ")</f>
        <v xml:space="preserve"> </v>
      </c>
      <c r="D1247" s="9"/>
      <c r="E1247" s="34"/>
      <c r="F1247" s="35" t="str">
        <f>IFERROR(LOOKUP(E1247,CODIGOS!A:A,CODIGOS!B:B)," ")</f>
        <v xml:space="preserve"> </v>
      </c>
      <c r="G1247" s="9"/>
      <c r="H1247" s="36"/>
      <c r="I1247" s="34"/>
      <c r="J1247" s="38"/>
    </row>
    <row r="1248" spans="1:10">
      <c r="A1248" s="32" t="str">
        <f t="shared" si="11"/>
        <v xml:space="preserve"> </v>
      </c>
      <c r="B1248" s="33"/>
      <c r="C1248" s="35" t="str">
        <f>IFERROR(LOOKUP(D1248,SOCIO!B:B,SOCIO!A:A)," ")</f>
        <v xml:space="preserve"> </v>
      </c>
      <c r="D1248" s="9"/>
      <c r="E1248" s="34"/>
      <c r="F1248" s="35" t="str">
        <f>IFERROR(LOOKUP(E1248,CODIGOS!A:A,CODIGOS!B:B)," ")</f>
        <v xml:space="preserve"> </v>
      </c>
      <c r="G1248" s="9"/>
      <c r="H1248" s="36"/>
      <c r="I1248" s="34"/>
      <c r="J1248" s="38"/>
    </row>
    <row r="1249" spans="1:10">
      <c r="A1249" s="32" t="str">
        <f t="shared" si="11"/>
        <v xml:space="preserve"> </v>
      </c>
      <c r="B1249" s="33"/>
      <c r="C1249" s="35" t="str">
        <f>IFERROR(LOOKUP(D1249,SOCIO!B:B,SOCIO!A:A)," ")</f>
        <v xml:space="preserve"> </v>
      </c>
      <c r="D1249" s="9"/>
      <c r="E1249" s="34"/>
      <c r="F1249" s="35" t="str">
        <f>IFERROR(LOOKUP(E1249,CODIGOS!A:A,CODIGOS!B:B)," ")</f>
        <v xml:space="preserve"> </v>
      </c>
      <c r="G1249" s="9"/>
      <c r="H1249" s="36"/>
      <c r="I1249" s="34"/>
      <c r="J1249" s="38"/>
    </row>
    <row r="1250" spans="1:10">
      <c r="A1250" s="32" t="str">
        <f t="shared" si="11"/>
        <v xml:space="preserve"> </v>
      </c>
      <c r="B1250" s="33"/>
      <c r="C1250" s="35" t="str">
        <f>IFERROR(LOOKUP(D1250,SOCIO!B:B,SOCIO!A:A)," ")</f>
        <v xml:space="preserve"> </v>
      </c>
      <c r="D1250" s="9"/>
      <c r="E1250" s="34"/>
      <c r="F1250" s="35" t="str">
        <f>IFERROR(LOOKUP(E1250,CODIGOS!A:A,CODIGOS!B:B)," ")</f>
        <v xml:space="preserve"> </v>
      </c>
      <c r="G1250" s="9"/>
      <c r="H1250" s="36"/>
      <c r="I1250" s="34"/>
      <c r="J1250" s="38"/>
    </row>
    <row r="1251" spans="1:10">
      <c r="A1251" s="32" t="str">
        <f t="shared" si="11"/>
        <v xml:space="preserve"> </v>
      </c>
      <c r="B1251" s="33"/>
      <c r="C1251" s="35" t="str">
        <f>IFERROR(LOOKUP(D1251,SOCIO!B:B,SOCIO!A:A)," ")</f>
        <v xml:space="preserve"> </v>
      </c>
      <c r="D1251" s="9"/>
      <c r="E1251" s="34"/>
      <c r="F1251" s="35" t="str">
        <f>IFERROR(LOOKUP(E1251,CODIGOS!A:A,CODIGOS!B:B)," ")</f>
        <v xml:space="preserve"> </v>
      </c>
      <c r="G1251" s="9"/>
      <c r="H1251" s="36"/>
      <c r="I1251" s="34"/>
      <c r="J1251" s="38"/>
    </row>
    <row r="1252" spans="1:10">
      <c r="A1252" s="32" t="str">
        <f t="shared" si="11"/>
        <v xml:space="preserve"> </v>
      </c>
      <c r="B1252" s="33"/>
      <c r="C1252" s="35" t="str">
        <f>IFERROR(LOOKUP(D1252,SOCIO!B:B,SOCIO!A:A)," ")</f>
        <v xml:space="preserve"> </v>
      </c>
      <c r="D1252" s="9"/>
      <c r="E1252" s="34"/>
      <c r="F1252" s="35" t="str">
        <f>IFERROR(LOOKUP(E1252,CODIGOS!A:A,CODIGOS!B:B)," ")</f>
        <v xml:space="preserve"> </v>
      </c>
      <c r="G1252" s="9"/>
      <c r="H1252" s="36"/>
      <c r="I1252" s="34"/>
      <c r="J1252" s="38"/>
    </row>
    <row r="1253" spans="1:10">
      <c r="A1253" s="32" t="str">
        <f t="shared" si="11"/>
        <v xml:space="preserve"> </v>
      </c>
      <c r="B1253" s="33"/>
      <c r="C1253" s="35" t="str">
        <f>IFERROR(LOOKUP(D1253,SOCIO!B:B,SOCIO!A:A)," ")</f>
        <v xml:space="preserve"> </v>
      </c>
      <c r="D1253" s="9"/>
      <c r="E1253" s="34"/>
      <c r="F1253" s="35" t="str">
        <f>IFERROR(LOOKUP(E1253,CODIGOS!A:A,CODIGOS!B:B)," ")</f>
        <v xml:space="preserve"> </v>
      </c>
      <c r="G1253" s="9"/>
      <c r="H1253" s="36"/>
      <c r="I1253" s="34"/>
      <c r="J1253" s="38"/>
    </row>
    <row r="1254" spans="1:10">
      <c r="A1254" s="32" t="str">
        <f t="shared" si="11"/>
        <v xml:space="preserve"> </v>
      </c>
      <c r="B1254" s="33"/>
      <c r="C1254" s="35" t="str">
        <f>IFERROR(LOOKUP(D1254,SOCIO!B:B,SOCIO!A:A)," ")</f>
        <v xml:space="preserve"> </v>
      </c>
      <c r="D1254" s="9"/>
      <c r="E1254" s="34"/>
      <c r="F1254" s="35" t="str">
        <f>IFERROR(LOOKUP(E1254,CODIGOS!A:A,CODIGOS!B:B)," ")</f>
        <v xml:space="preserve"> </v>
      </c>
      <c r="G1254" s="9"/>
      <c r="H1254" s="36"/>
      <c r="I1254" s="34"/>
      <c r="J1254" s="38"/>
    </row>
    <row r="1255" spans="1:10">
      <c r="A1255" s="32" t="str">
        <f t="shared" si="11"/>
        <v xml:space="preserve"> </v>
      </c>
      <c r="B1255" s="33"/>
      <c r="C1255" s="35" t="str">
        <f>IFERROR(LOOKUP(D1255,SOCIO!B:B,SOCIO!A:A)," ")</f>
        <v xml:space="preserve"> </v>
      </c>
      <c r="D1255" s="9"/>
      <c r="E1255" s="34"/>
      <c r="F1255" s="35" t="str">
        <f>IFERROR(LOOKUP(E1255,CODIGOS!A:A,CODIGOS!B:B)," ")</f>
        <v xml:space="preserve"> </v>
      </c>
      <c r="G1255" s="9"/>
      <c r="H1255" s="36"/>
      <c r="I1255" s="34"/>
      <c r="J1255" s="38"/>
    </row>
    <row r="1256" spans="1:10">
      <c r="A1256" s="32" t="str">
        <f t="shared" si="11"/>
        <v xml:space="preserve"> </v>
      </c>
      <c r="B1256" s="33"/>
      <c r="C1256" s="35" t="str">
        <f>IFERROR(LOOKUP(D1256,SOCIO!B:B,SOCIO!A:A)," ")</f>
        <v xml:space="preserve"> </v>
      </c>
      <c r="D1256" s="9"/>
      <c r="E1256" s="34"/>
      <c r="F1256" s="35" t="str">
        <f>IFERROR(LOOKUP(E1256,CODIGOS!A:A,CODIGOS!B:B)," ")</f>
        <v xml:space="preserve"> </v>
      </c>
      <c r="G1256" s="9"/>
      <c r="H1256" s="36"/>
      <c r="I1256" s="34"/>
      <c r="J1256" s="38"/>
    </row>
    <row r="1257" spans="1:10">
      <c r="A1257" s="32" t="str">
        <f t="shared" si="11"/>
        <v xml:space="preserve"> </v>
      </c>
      <c r="B1257" s="33"/>
      <c r="C1257" s="35" t="str">
        <f>IFERROR(LOOKUP(D1257,SOCIO!B:B,SOCIO!A:A)," ")</f>
        <v xml:space="preserve"> </v>
      </c>
      <c r="D1257" s="9"/>
      <c r="E1257" s="34"/>
      <c r="F1257" s="35" t="str">
        <f>IFERROR(LOOKUP(E1257,CODIGOS!A:A,CODIGOS!B:B)," ")</f>
        <v xml:space="preserve"> </v>
      </c>
      <c r="G1257" s="9"/>
      <c r="H1257" s="36"/>
      <c r="I1257" s="34"/>
      <c r="J1257" s="38"/>
    </row>
    <row r="1258" spans="1:10">
      <c r="A1258" s="32" t="str">
        <f t="shared" si="11"/>
        <v xml:space="preserve"> </v>
      </c>
      <c r="B1258" s="33"/>
      <c r="C1258" s="35" t="str">
        <f>IFERROR(LOOKUP(D1258,SOCIO!B:B,SOCIO!A:A)," ")</f>
        <v xml:space="preserve"> </v>
      </c>
      <c r="D1258" s="9"/>
      <c r="E1258" s="34"/>
      <c r="F1258" s="35" t="str">
        <f>IFERROR(LOOKUP(E1258,CODIGOS!A:A,CODIGOS!B:B)," ")</f>
        <v xml:space="preserve"> </v>
      </c>
      <c r="G1258" s="9"/>
      <c r="H1258" s="36"/>
      <c r="I1258" s="34"/>
      <c r="J1258" s="38"/>
    </row>
    <row r="1259" spans="1:10">
      <c r="A1259" s="32" t="str">
        <f t="shared" si="11"/>
        <v xml:space="preserve"> </v>
      </c>
      <c r="B1259" s="33"/>
      <c r="C1259" s="35" t="str">
        <f>IFERROR(LOOKUP(D1259,SOCIO!B:B,SOCIO!A:A)," ")</f>
        <v xml:space="preserve"> </v>
      </c>
      <c r="D1259" s="9"/>
      <c r="E1259" s="34"/>
      <c r="F1259" s="35" t="str">
        <f>IFERROR(LOOKUP(E1259,CODIGOS!A:A,CODIGOS!B:B)," ")</f>
        <v xml:space="preserve"> </v>
      </c>
      <c r="G1259" s="9"/>
      <c r="H1259" s="36"/>
      <c r="I1259" s="34"/>
      <c r="J1259" s="38"/>
    </row>
    <row r="1260" spans="1:10">
      <c r="A1260" s="32" t="str">
        <f t="shared" si="11"/>
        <v xml:space="preserve"> </v>
      </c>
      <c r="B1260" s="33"/>
      <c r="C1260" s="35" t="str">
        <f>IFERROR(LOOKUP(D1260,SOCIO!B:B,SOCIO!A:A)," ")</f>
        <v xml:space="preserve"> </v>
      </c>
      <c r="D1260" s="9"/>
      <c r="E1260" s="34"/>
      <c r="F1260" s="35" t="str">
        <f>IFERROR(LOOKUP(E1260,CODIGOS!A:A,CODIGOS!B:B)," ")</f>
        <v xml:space="preserve"> </v>
      </c>
      <c r="G1260" s="9"/>
      <c r="H1260" s="36"/>
      <c r="I1260" s="34"/>
      <c r="J1260" s="38"/>
    </row>
    <row r="1261" spans="1:10">
      <c r="A1261" s="32" t="str">
        <f t="shared" si="11"/>
        <v xml:space="preserve"> </v>
      </c>
      <c r="B1261" s="33"/>
      <c r="C1261" s="35" t="str">
        <f>IFERROR(LOOKUP(D1261,SOCIO!B:B,SOCIO!A:A)," ")</f>
        <v xml:space="preserve"> </v>
      </c>
      <c r="D1261" s="9"/>
      <c r="E1261" s="34"/>
      <c r="F1261" s="35" t="str">
        <f>IFERROR(LOOKUP(E1261,CODIGOS!A:A,CODIGOS!B:B)," ")</f>
        <v xml:space="preserve"> </v>
      </c>
      <c r="G1261" s="9"/>
      <c r="H1261" s="36"/>
      <c r="I1261" s="34"/>
      <c r="J1261" s="38"/>
    </row>
    <row r="1262" spans="1:10">
      <c r="A1262" s="32" t="str">
        <f t="shared" si="11"/>
        <v xml:space="preserve"> </v>
      </c>
      <c r="B1262" s="33"/>
      <c r="C1262" s="35" t="str">
        <f>IFERROR(LOOKUP(D1262,SOCIO!B:B,SOCIO!A:A)," ")</f>
        <v xml:space="preserve"> </v>
      </c>
      <c r="D1262" s="9"/>
      <c r="E1262" s="34"/>
      <c r="F1262" s="35" t="str">
        <f>IFERROR(LOOKUP(E1262,CODIGOS!A:A,CODIGOS!B:B)," ")</f>
        <v xml:space="preserve"> </v>
      </c>
      <c r="G1262" s="9"/>
      <c r="H1262" s="36"/>
      <c r="I1262" s="34"/>
      <c r="J1262" s="38"/>
    </row>
    <row r="1263" spans="1:10">
      <c r="A1263" s="32" t="str">
        <f t="shared" ref="A1263:A1300" si="12">IF(B1263&lt;&gt;0,A1262+1," ")</f>
        <v xml:space="preserve"> </v>
      </c>
      <c r="B1263" s="33"/>
      <c r="C1263" s="35" t="str">
        <f>IFERROR(LOOKUP(D1263,SOCIO!B:B,SOCIO!A:A)," ")</f>
        <v xml:space="preserve"> </v>
      </c>
      <c r="D1263" s="9"/>
      <c r="E1263" s="34"/>
      <c r="F1263" s="35" t="str">
        <f>IFERROR(LOOKUP(E1263,CODIGOS!A:A,CODIGOS!B:B)," ")</f>
        <v xml:space="preserve"> </v>
      </c>
      <c r="G1263" s="9"/>
      <c r="H1263" s="36"/>
      <c r="I1263" s="34"/>
      <c r="J1263" s="38"/>
    </row>
    <row r="1264" spans="1:10">
      <c r="A1264" s="32" t="str">
        <f t="shared" si="12"/>
        <v xml:space="preserve"> </v>
      </c>
      <c r="B1264" s="33"/>
      <c r="C1264" s="35" t="str">
        <f>IFERROR(LOOKUP(D1264,SOCIO!B:B,SOCIO!A:A)," ")</f>
        <v xml:space="preserve"> </v>
      </c>
      <c r="D1264" s="9"/>
      <c r="E1264" s="34"/>
      <c r="F1264" s="35" t="str">
        <f>IFERROR(LOOKUP(E1264,CODIGOS!A:A,CODIGOS!B:B)," ")</f>
        <v xml:space="preserve"> </v>
      </c>
      <c r="G1264" s="9"/>
      <c r="H1264" s="36"/>
      <c r="I1264" s="34"/>
      <c r="J1264" s="38"/>
    </row>
    <row r="1265" spans="1:10">
      <c r="A1265" s="32" t="str">
        <f t="shared" si="12"/>
        <v xml:space="preserve"> </v>
      </c>
      <c r="B1265" s="33"/>
      <c r="C1265" s="35" t="str">
        <f>IFERROR(LOOKUP(D1265,SOCIO!B:B,SOCIO!A:A)," ")</f>
        <v xml:space="preserve"> </v>
      </c>
      <c r="D1265" s="9"/>
      <c r="E1265" s="34"/>
      <c r="F1265" s="35" t="str">
        <f>IFERROR(LOOKUP(E1265,CODIGOS!A:A,CODIGOS!B:B)," ")</f>
        <v xml:space="preserve"> </v>
      </c>
      <c r="G1265" s="9"/>
      <c r="H1265" s="36"/>
      <c r="I1265" s="34"/>
      <c r="J1265" s="38"/>
    </row>
    <row r="1266" spans="1:10">
      <c r="A1266" s="32" t="str">
        <f t="shared" si="12"/>
        <v xml:space="preserve"> </v>
      </c>
      <c r="B1266" s="33"/>
      <c r="C1266" s="35" t="str">
        <f>IFERROR(LOOKUP(D1266,SOCIO!B:B,SOCIO!A:A)," ")</f>
        <v xml:space="preserve"> </v>
      </c>
      <c r="D1266" s="9"/>
      <c r="E1266" s="34"/>
      <c r="F1266" s="35" t="str">
        <f>IFERROR(LOOKUP(E1266,CODIGOS!A:A,CODIGOS!B:B)," ")</f>
        <v xml:space="preserve"> </v>
      </c>
      <c r="G1266" s="9"/>
      <c r="H1266" s="36"/>
      <c r="I1266" s="34"/>
      <c r="J1266" s="38"/>
    </row>
    <row r="1267" spans="1:10">
      <c r="A1267" s="32" t="str">
        <f t="shared" si="12"/>
        <v xml:space="preserve"> </v>
      </c>
      <c r="B1267" s="33"/>
      <c r="C1267" s="35" t="str">
        <f>IFERROR(LOOKUP(D1267,SOCIO!B:B,SOCIO!A:A)," ")</f>
        <v xml:space="preserve"> </v>
      </c>
      <c r="D1267" s="9"/>
      <c r="E1267" s="34"/>
      <c r="F1267" s="35" t="str">
        <f>IFERROR(LOOKUP(E1267,CODIGOS!A:A,CODIGOS!B:B)," ")</f>
        <v xml:space="preserve"> </v>
      </c>
      <c r="G1267" s="9"/>
      <c r="H1267" s="36"/>
      <c r="I1267" s="34"/>
      <c r="J1267" s="38"/>
    </row>
    <row r="1268" spans="1:10">
      <c r="A1268" s="32" t="str">
        <f t="shared" si="12"/>
        <v xml:space="preserve"> </v>
      </c>
      <c r="B1268" s="33"/>
      <c r="C1268" s="35" t="str">
        <f>IFERROR(LOOKUP(D1268,SOCIO!B:B,SOCIO!A:A)," ")</f>
        <v xml:space="preserve"> </v>
      </c>
      <c r="D1268" s="9"/>
      <c r="E1268" s="34"/>
      <c r="F1268" s="35" t="str">
        <f>IFERROR(LOOKUP(E1268,CODIGOS!A:A,CODIGOS!B:B)," ")</f>
        <v xml:space="preserve"> </v>
      </c>
      <c r="G1268" s="9"/>
      <c r="H1268" s="36"/>
      <c r="I1268" s="34"/>
      <c r="J1268" s="38"/>
    </row>
    <row r="1269" spans="1:10">
      <c r="A1269" s="32" t="str">
        <f t="shared" si="12"/>
        <v xml:space="preserve"> </v>
      </c>
      <c r="B1269" s="33"/>
      <c r="C1269" s="35" t="str">
        <f>IFERROR(LOOKUP(D1269,SOCIO!B:B,SOCIO!A:A)," ")</f>
        <v xml:space="preserve"> </v>
      </c>
      <c r="D1269" s="9"/>
      <c r="E1269" s="34"/>
      <c r="F1269" s="35" t="str">
        <f>IFERROR(LOOKUP(E1269,CODIGOS!A:A,CODIGOS!B:B)," ")</f>
        <v xml:space="preserve"> </v>
      </c>
      <c r="G1269" s="9"/>
      <c r="H1269" s="36"/>
      <c r="I1269" s="34"/>
      <c r="J1269" s="38"/>
    </row>
    <row r="1270" spans="1:10">
      <c r="A1270" s="32" t="str">
        <f t="shared" si="12"/>
        <v xml:space="preserve"> </v>
      </c>
      <c r="B1270" s="33"/>
      <c r="C1270" s="35" t="str">
        <f>IFERROR(LOOKUP(D1270,SOCIO!B:B,SOCIO!A:A)," ")</f>
        <v xml:space="preserve"> </v>
      </c>
      <c r="D1270" s="9"/>
      <c r="E1270" s="34"/>
      <c r="F1270" s="35" t="str">
        <f>IFERROR(LOOKUP(E1270,CODIGOS!A:A,CODIGOS!B:B)," ")</f>
        <v xml:space="preserve"> </v>
      </c>
      <c r="G1270" s="9"/>
      <c r="H1270" s="36"/>
      <c r="I1270" s="34"/>
      <c r="J1270" s="38"/>
    </row>
    <row r="1271" spans="1:10">
      <c r="A1271" s="32" t="str">
        <f t="shared" si="12"/>
        <v xml:space="preserve"> </v>
      </c>
      <c r="B1271" s="33"/>
      <c r="C1271" s="35" t="str">
        <f>IFERROR(LOOKUP(D1271,SOCIO!B:B,SOCIO!A:A)," ")</f>
        <v xml:space="preserve"> </v>
      </c>
      <c r="D1271" s="9"/>
      <c r="E1271" s="34"/>
      <c r="F1271" s="35" t="str">
        <f>IFERROR(LOOKUP(E1271,CODIGOS!A:A,CODIGOS!B:B)," ")</f>
        <v xml:space="preserve"> </v>
      </c>
      <c r="G1271" s="9"/>
      <c r="H1271" s="36"/>
      <c r="I1271" s="34"/>
      <c r="J1271" s="38"/>
    </row>
    <row r="1272" spans="1:10">
      <c r="A1272" s="32" t="str">
        <f t="shared" si="12"/>
        <v xml:space="preserve"> </v>
      </c>
      <c r="B1272" s="33"/>
      <c r="C1272" s="35" t="str">
        <f>IFERROR(LOOKUP(D1272,SOCIO!B:B,SOCIO!A:A)," ")</f>
        <v xml:space="preserve"> </v>
      </c>
      <c r="D1272" s="9"/>
      <c r="E1272" s="34"/>
      <c r="F1272" s="35" t="str">
        <f>IFERROR(LOOKUP(E1272,CODIGOS!A:A,CODIGOS!B:B)," ")</f>
        <v xml:space="preserve"> </v>
      </c>
      <c r="G1272" s="9"/>
      <c r="H1272" s="36"/>
      <c r="I1272" s="34"/>
      <c r="J1272" s="38"/>
    </row>
    <row r="1273" spans="1:10">
      <c r="A1273" s="32" t="str">
        <f t="shared" si="12"/>
        <v xml:space="preserve"> </v>
      </c>
      <c r="B1273" s="33"/>
      <c r="C1273" s="35" t="str">
        <f>IFERROR(LOOKUP(D1273,SOCIO!B:B,SOCIO!A:A)," ")</f>
        <v xml:space="preserve"> </v>
      </c>
      <c r="D1273" s="9"/>
      <c r="E1273" s="34"/>
      <c r="F1273" s="35" t="str">
        <f>IFERROR(LOOKUP(E1273,CODIGOS!A:A,CODIGOS!B:B)," ")</f>
        <v xml:space="preserve"> </v>
      </c>
      <c r="G1273" s="9"/>
      <c r="H1273" s="36"/>
      <c r="I1273" s="34"/>
      <c r="J1273" s="38"/>
    </row>
    <row r="1274" spans="1:10">
      <c r="A1274" s="32" t="str">
        <f t="shared" si="12"/>
        <v xml:space="preserve"> </v>
      </c>
      <c r="B1274" s="33"/>
      <c r="C1274" s="35" t="str">
        <f>IFERROR(LOOKUP(D1274,SOCIO!B:B,SOCIO!A:A)," ")</f>
        <v xml:space="preserve"> </v>
      </c>
      <c r="D1274" s="9"/>
      <c r="E1274" s="34"/>
      <c r="F1274" s="35" t="str">
        <f>IFERROR(LOOKUP(E1274,CODIGOS!A:A,CODIGOS!B:B)," ")</f>
        <v xml:space="preserve"> </v>
      </c>
      <c r="G1274" s="9"/>
      <c r="H1274" s="36"/>
      <c r="I1274" s="34"/>
      <c r="J1274" s="38"/>
    </row>
    <row r="1275" spans="1:10">
      <c r="A1275" s="32" t="str">
        <f t="shared" si="12"/>
        <v xml:space="preserve"> </v>
      </c>
      <c r="B1275" s="33"/>
      <c r="C1275" s="35" t="str">
        <f>IFERROR(LOOKUP(D1275,SOCIO!B:B,SOCIO!A:A)," ")</f>
        <v xml:space="preserve"> </v>
      </c>
      <c r="D1275" s="9"/>
      <c r="E1275" s="34"/>
      <c r="F1275" s="35" t="str">
        <f>IFERROR(LOOKUP(E1275,CODIGOS!A:A,CODIGOS!B:B)," ")</f>
        <v xml:space="preserve"> </v>
      </c>
      <c r="G1275" s="9"/>
      <c r="H1275" s="36"/>
      <c r="I1275" s="34"/>
      <c r="J1275" s="38"/>
    </row>
    <row r="1276" spans="1:10">
      <c r="A1276" s="32" t="str">
        <f t="shared" si="12"/>
        <v xml:space="preserve"> </v>
      </c>
      <c r="B1276" s="33"/>
      <c r="C1276" s="35" t="str">
        <f>IFERROR(LOOKUP(D1276,SOCIO!B:B,SOCIO!A:A)," ")</f>
        <v xml:space="preserve"> </v>
      </c>
      <c r="D1276" s="9"/>
      <c r="E1276" s="34"/>
      <c r="F1276" s="35" t="str">
        <f>IFERROR(LOOKUP(E1276,CODIGOS!A:A,CODIGOS!B:B)," ")</f>
        <v xml:space="preserve"> </v>
      </c>
      <c r="G1276" s="9"/>
      <c r="H1276" s="36"/>
      <c r="I1276" s="34"/>
      <c r="J1276" s="38"/>
    </row>
    <row r="1277" spans="1:10">
      <c r="A1277" s="32" t="str">
        <f t="shared" si="12"/>
        <v xml:space="preserve"> </v>
      </c>
      <c r="B1277" s="33"/>
      <c r="C1277" s="35" t="str">
        <f>IFERROR(LOOKUP(D1277,SOCIO!B:B,SOCIO!A:A)," ")</f>
        <v xml:space="preserve"> </v>
      </c>
      <c r="D1277" s="9"/>
      <c r="E1277" s="34"/>
      <c r="F1277" s="35" t="str">
        <f>IFERROR(LOOKUP(E1277,CODIGOS!A:A,CODIGOS!B:B)," ")</f>
        <v xml:space="preserve"> </v>
      </c>
      <c r="G1277" s="9"/>
      <c r="H1277" s="36"/>
      <c r="I1277" s="34"/>
      <c r="J1277" s="38"/>
    </row>
    <row r="1278" spans="1:10">
      <c r="A1278" s="32" t="str">
        <f t="shared" si="12"/>
        <v xml:space="preserve"> </v>
      </c>
      <c r="B1278" s="33"/>
      <c r="C1278" s="35" t="str">
        <f>IFERROR(LOOKUP(D1278,SOCIO!B:B,SOCIO!A:A)," ")</f>
        <v xml:space="preserve"> </v>
      </c>
      <c r="D1278" s="9"/>
      <c r="E1278" s="34"/>
      <c r="F1278" s="35" t="str">
        <f>IFERROR(LOOKUP(E1278,CODIGOS!A:A,CODIGOS!B:B)," ")</f>
        <v xml:space="preserve"> </v>
      </c>
      <c r="G1278" s="9"/>
      <c r="H1278" s="36"/>
      <c r="I1278" s="34"/>
      <c r="J1278" s="38"/>
    </row>
    <row r="1279" spans="1:10">
      <c r="A1279" s="32" t="str">
        <f t="shared" si="12"/>
        <v xml:space="preserve"> </v>
      </c>
      <c r="B1279" s="33"/>
      <c r="C1279" s="35" t="str">
        <f>IFERROR(LOOKUP(D1279,SOCIO!B:B,SOCIO!A:A)," ")</f>
        <v xml:space="preserve"> </v>
      </c>
      <c r="D1279" s="9"/>
      <c r="E1279" s="34"/>
      <c r="F1279" s="35" t="str">
        <f>IFERROR(LOOKUP(E1279,CODIGOS!A:A,CODIGOS!B:B)," ")</f>
        <v xml:space="preserve"> </v>
      </c>
      <c r="G1279" s="9"/>
      <c r="H1279" s="36"/>
      <c r="I1279" s="34"/>
      <c r="J1279" s="38"/>
    </row>
    <row r="1280" spans="1:10">
      <c r="A1280" s="32" t="str">
        <f t="shared" si="12"/>
        <v xml:space="preserve"> </v>
      </c>
      <c r="B1280" s="33"/>
      <c r="C1280" s="35" t="str">
        <f>IFERROR(LOOKUP(D1280,SOCIO!B:B,SOCIO!A:A)," ")</f>
        <v xml:space="preserve"> </v>
      </c>
      <c r="D1280" s="9"/>
      <c r="E1280" s="34"/>
      <c r="F1280" s="35" t="str">
        <f>IFERROR(LOOKUP(E1280,CODIGOS!A:A,CODIGOS!B:B)," ")</f>
        <v xml:space="preserve"> </v>
      </c>
      <c r="G1280" s="9"/>
      <c r="H1280" s="36"/>
      <c r="I1280" s="34"/>
      <c r="J1280" s="38"/>
    </row>
    <row r="1281" spans="1:10">
      <c r="A1281" s="32" t="str">
        <f t="shared" si="12"/>
        <v xml:space="preserve"> </v>
      </c>
      <c r="B1281" s="33"/>
      <c r="C1281" s="35" t="str">
        <f>IFERROR(LOOKUP(D1281,SOCIO!B:B,SOCIO!A:A)," ")</f>
        <v xml:space="preserve"> </v>
      </c>
      <c r="D1281" s="9"/>
      <c r="E1281" s="34"/>
      <c r="F1281" s="35" t="str">
        <f>IFERROR(LOOKUP(E1281,CODIGOS!A:A,CODIGOS!B:B)," ")</f>
        <v xml:space="preserve"> </v>
      </c>
      <c r="G1281" s="9"/>
      <c r="H1281" s="36"/>
      <c r="I1281" s="34"/>
      <c r="J1281" s="38"/>
    </row>
    <row r="1282" spans="1:10">
      <c r="A1282" s="32" t="str">
        <f t="shared" si="12"/>
        <v xml:space="preserve"> </v>
      </c>
      <c r="B1282" s="33"/>
      <c r="C1282" s="35" t="str">
        <f>IFERROR(LOOKUP(D1282,SOCIO!B:B,SOCIO!A:A)," ")</f>
        <v xml:space="preserve"> </v>
      </c>
      <c r="D1282" s="9"/>
      <c r="E1282" s="34"/>
      <c r="F1282" s="35" t="str">
        <f>IFERROR(LOOKUP(E1282,CODIGOS!A:A,CODIGOS!B:B)," ")</f>
        <v xml:space="preserve"> </v>
      </c>
      <c r="G1282" s="9"/>
      <c r="H1282" s="36"/>
      <c r="I1282" s="34"/>
      <c r="J1282" s="38"/>
    </row>
    <row r="1283" spans="1:10">
      <c r="A1283" s="32" t="str">
        <f t="shared" si="12"/>
        <v xml:space="preserve"> </v>
      </c>
      <c r="B1283" s="33"/>
      <c r="C1283" s="35" t="str">
        <f>IFERROR(LOOKUP(D1283,SOCIO!B:B,SOCIO!A:A)," ")</f>
        <v xml:space="preserve"> </v>
      </c>
      <c r="D1283" s="9"/>
      <c r="E1283" s="34"/>
      <c r="F1283" s="35" t="str">
        <f>IFERROR(LOOKUP(E1283,CODIGOS!A:A,CODIGOS!B:B)," ")</f>
        <v xml:space="preserve"> </v>
      </c>
      <c r="G1283" s="9"/>
      <c r="H1283" s="36"/>
      <c r="I1283" s="34"/>
      <c r="J1283" s="38"/>
    </row>
    <row r="1284" spans="1:10">
      <c r="A1284" s="32" t="str">
        <f t="shared" si="12"/>
        <v xml:space="preserve"> </v>
      </c>
      <c r="B1284" s="33"/>
      <c r="C1284" s="35" t="str">
        <f>IFERROR(LOOKUP(D1284,SOCIO!B:B,SOCIO!A:A)," ")</f>
        <v xml:space="preserve"> </v>
      </c>
      <c r="D1284" s="9"/>
      <c r="E1284" s="34"/>
      <c r="F1284" s="35" t="str">
        <f>IFERROR(LOOKUP(E1284,CODIGOS!A:A,CODIGOS!B:B)," ")</f>
        <v xml:space="preserve"> </v>
      </c>
      <c r="G1284" s="9"/>
      <c r="H1284" s="36"/>
      <c r="I1284" s="34"/>
      <c r="J1284" s="38"/>
    </row>
    <row r="1285" spans="1:10">
      <c r="A1285" s="32" t="str">
        <f t="shared" si="12"/>
        <v xml:space="preserve"> </v>
      </c>
      <c r="B1285" s="33"/>
      <c r="C1285" s="35" t="str">
        <f>IFERROR(LOOKUP(D1285,SOCIO!B:B,SOCIO!A:A)," ")</f>
        <v xml:space="preserve"> </v>
      </c>
      <c r="D1285" s="9"/>
      <c r="E1285" s="34"/>
      <c r="F1285" s="35" t="str">
        <f>IFERROR(LOOKUP(E1285,CODIGOS!A:A,CODIGOS!B:B)," ")</f>
        <v xml:space="preserve"> </v>
      </c>
      <c r="G1285" s="9"/>
      <c r="H1285" s="36"/>
      <c r="I1285" s="34"/>
      <c r="J1285" s="38"/>
    </row>
    <row r="1286" spans="1:10">
      <c r="A1286" s="32" t="str">
        <f t="shared" si="12"/>
        <v xml:space="preserve"> </v>
      </c>
      <c r="B1286" s="33"/>
      <c r="C1286" s="35" t="str">
        <f>IFERROR(LOOKUP(D1286,SOCIO!B:B,SOCIO!A:A)," ")</f>
        <v xml:space="preserve"> </v>
      </c>
      <c r="D1286" s="9"/>
      <c r="E1286" s="34"/>
      <c r="F1286" s="35" t="str">
        <f>IFERROR(LOOKUP(E1286,CODIGOS!A:A,CODIGOS!B:B)," ")</f>
        <v xml:space="preserve"> </v>
      </c>
      <c r="G1286" s="9"/>
      <c r="H1286" s="36"/>
      <c r="I1286" s="34"/>
      <c r="J1286" s="38"/>
    </row>
    <row r="1287" spans="1:10">
      <c r="A1287" s="32" t="str">
        <f t="shared" si="12"/>
        <v xml:space="preserve"> </v>
      </c>
      <c r="B1287" s="33"/>
      <c r="C1287" s="35" t="str">
        <f>IFERROR(LOOKUP(D1287,SOCIO!B:B,SOCIO!A:A)," ")</f>
        <v xml:space="preserve"> </v>
      </c>
      <c r="D1287" s="9"/>
      <c r="E1287" s="34"/>
      <c r="F1287" s="35" t="str">
        <f>IFERROR(LOOKUP(E1287,CODIGOS!A:A,CODIGOS!B:B)," ")</f>
        <v xml:space="preserve"> </v>
      </c>
      <c r="G1287" s="9"/>
      <c r="H1287" s="36"/>
      <c r="I1287" s="34"/>
      <c r="J1287" s="38"/>
    </row>
    <row r="1288" spans="1:10">
      <c r="A1288" s="32" t="str">
        <f t="shared" si="12"/>
        <v xml:space="preserve"> </v>
      </c>
      <c r="B1288" s="33"/>
      <c r="C1288" s="35" t="str">
        <f>IFERROR(LOOKUP(D1288,SOCIO!B:B,SOCIO!A:A)," ")</f>
        <v xml:space="preserve"> </v>
      </c>
      <c r="D1288" s="9"/>
      <c r="E1288" s="34"/>
      <c r="F1288" s="35" t="str">
        <f>IFERROR(LOOKUP(E1288,CODIGOS!A:A,CODIGOS!B:B)," ")</f>
        <v xml:space="preserve"> </v>
      </c>
      <c r="G1288" s="9"/>
      <c r="H1288" s="36"/>
      <c r="I1288" s="34"/>
      <c r="J1288" s="38"/>
    </row>
    <row r="1289" spans="1:10">
      <c r="A1289" s="32" t="str">
        <f t="shared" si="12"/>
        <v xml:space="preserve"> </v>
      </c>
      <c r="B1289" s="33"/>
      <c r="C1289" s="35" t="str">
        <f>IFERROR(LOOKUP(D1289,SOCIO!B:B,SOCIO!A:A)," ")</f>
        <v xml:space="preserve"> </v>
      </c>
      <c r="D1289" s="9"/>
      <c r="E1289" s="34"/>
      <c r="F1289" s="35" t="str">
        <f>IFERROR(LOOKUP(E1289,CODIGOS!A:A,CODIGOS!B:B)," ")</f>
        <v xml:space="preserve"> </v>
      </c>
      <c r="G1289" s="9"/>
      <c r="H1289" s="36"/>
      <c r="I1289" s="34"/>
      <c r="J1289" s="38"/>
    </row>
    <row r="1290" spans="1:10">
      <c r="A1290" s="32" t="str">
        <f t="shared" si="12"/>
        <v xml:space="preserve"> </v>
      </c>
      <c r="B1290" s="33"/>
      <c r="C1290" s="35" t="str">
        <f>IFERROR(LOOKUP(D1290,SOCIO!B:B,SOCIO!A:A)," ")</f>
        <v xml:space="preserve"> </v>
      </c>
      <c r="D1290" s="9"/>
      <c r="E1290" s="34"/>
      <c r="F1290" s="35" t="str">
        <f>IFERROR(LOOKUP(E1290,CODIGOS!A:A,CODIGOS!B:B)," ")</f>
        <v xml:space="preserve"> </v>
      </c>
      <c r="G1290" s="9"/>
      <c r="H1290" s="36"/>
      <c r="I1290" s="34"/>
      <c r="J1290" s="38"/>
    </row>
    <row r="1291" spans="1:10">
      <c r="A1291" s="32" t="str">
        <f t="shared" si="12"/>
        <v xml:space="preserve"> </v>
      </c>
      <c r="B1291" s="33"/>
      <c r="C1291" s="35" t="str">
        <f>IFERROR(LOOKUP(D1291,SOCIO!B:B,SOCIO!A:A)," ")</f>
        <v xml:space="preserve"> </v>
      </c>
      <c r="D1291" s="9"/>
      <c r="E1291" s="34"/>
      <c r="F1291" s="35" t="str">
        <f>IFERROR(LOOKUP(E1291,CODIGOS!A:A,CODIGOS!B:B)," ")</f>
        <v xml:space="preserve"> </v>
      </c>
      <c r="G1291" s="9"/>
      <c r="H1291" s="36"/>
      <c r="I1291" s="34"/>
      <c r="J1291" s="38"/>
    </row>
    <row r="1292" spans="1:10">
      <c r="A1292" s="32" t="str">
        <f t="shared" si="12"/>
        <v xml:space="preserve"> </v>
      </c>
      <c r="B1292" s="33"/>
      <c r="C1292" s="35" t="str">
        <f>IFERROR(LOOKUP(D1292,SOCIO!B:B,SOCIO!A:A)," ")</f>
        <v xml:space="preserve"> </v>
      </c>
      <c r="D1292" s="9"/>
      <c r="E1292" s="34"/>
      <c r="F1292" s="35" t="str">
        <f>IFERROR(LOOKUP(E1292,CODIGOS!A:A,CODIGOS!B:B)," ")</f>
        <v xml:space="preserve"> </v>
      </c>
      <c r="G1292" s="9"/>
      <c r="H1292" s="36"/>
      <c r="I1292" s="34"/>
      <c r="J1292" s="38"/>
    </row>
    <row r="1293" spans="1:10">
      <c r="A1293" s="32" t="str">
        <f t="shared" si="12"/>
        <v xml:space="preserve"> </v>
      </c>
      <c r="B1293" s="33"/>
      <c r="C1293" s="35" t="str">
        <f>IFERROR(LOOKUP(D1293,SOCIO!B:B,SOCIO!A:A)," ")</f>
        <v xml:space="preserve"> </v>
      </c>
      <c r="D1293" s="9"/>
      <c r="E1293" s="34"/>
      <c r="F1293" s="35" t="str">
        <f>IFERROR(LOOKUP(E1293,CODIGOS!A:A,CODIGOS!B:B)," ")</f>
        <v xml:space="preserve"> </v>
      </c>
      <c r="G1293" s="9"/>
      <c r="H1293" s="36"/>
      <c r="I1293" s="34"/>
      <c r="J1293" s="38"/>
    </row>
    <row r="1294" spans="1:10">
      <c r="A1294" s="32" t="str">
        <f t="shared" si="12"/>
        <v xml:space="preserve"> </v>
      </c>
      <c r="B1294" s="33"/>
      <c r="C1294" s="35" t="str">
        <f>IFERROR(LOOKUP(D1294,SOCIO!B:B,SOCIO!A:A)," ")</f>
        <v xml:space="preserve"> </v>
      </c>
      <c r="D1294" s="9"/>
      <c r="E1294" s="34"/>
      <c r="F1294" s="35" t="str">
        <f>IFERROR(LOOKUP(E1294,CODIGOS!A:A,CODIGOS!B:B)," ")</f>
        <v xml:space="preserve"> </v>
      </c>
      <c r="G1294" s="9"/>
      <c r="H1294" s="36"/>
      <c r="I1294" s="34"/>
      <c r="J1294" s="38"/>
    </row>
    <row r="1295" spans="1:10">
      <c r="A1295" s="32" t="str">
        <f t="shared" si="12"/>
        <v xml:space="preserve"> </v>
      </c>
      <c r="B1295" s="33"/>
      <c r="C1295" s="35" t="str">
        <f>IFERROR(LOOKUP(D1295,SOCIO!B:B,SOCIO!A:A)," ")</f>
        <v xml:space="preserve"> </v>
      </c>
      <c r="D1295" s="9"/>
      <c r="E1295" s="34"/>
      <c r="F1295" s="35" t="str">
        <f>IFERROR(LOOKUP(E1295,CODIGOS!A:A,CODIGOS!B:B)," ")</f>
        <v xml:space="preserve"> </v>
      </c>
      <c r="G1295" s="9"/>
      <c r="H1295" s="36"/>
      <c r="I1295" s="34"/>
      <c r="J1295" s="38"/>
    </row>
    <row r="1296" spans="1:10">
      <c r="A1296" s="32" t="str">
        <f t="shared" si="12"/>
        <v xml:space="preserve"> </v>
      </c>
      <c r="B1296" s="33"/>
      <c r="C1296" s="35" t="str">
        <f>IFERROR(LOOKUP(D1296,SOCIO!B:B,SOCIO!A:A)," ")</f>
        <v xml:space="preserve"> </v>
      </c>
      <c r="D1296" s="9"/>
      <c r="E1296" s="34"/>
      <c r="F1296" s="35" t="str">
        <f>IFERROR(LOOKUP(E1296,CODIGOS!A:A,CODIGOS!B:B)," ")</f>
        <v xml:space="preserve"> </v>
      </c>
      <c r="G1296" s="9"/>
      <c r="H1296" s="36"/>
      <c r="I1296" s="34"/>
      <c r="J1296" s="38"/>
    </row>
    <row r="1297" spans="1:10">
      <c r="A1297" s="32" t="str">
        <f t="shared" si="12"/>
        <v xml:space="preserve"> </v>
      </c>
      <c r="B1297" s="33"/>
      <c r="C1297" s="35" t="str">
        <f>IFERROR(LOOKUP(D1297,SOCIO!B:B,SOCIO!A:A)," ")</f>
        <v xml:space="preserve"> </v>
      </c>
      <c r="D1297" s="9"/>
      <c r="E1297" s="34"/>
      <c r="F1297" s="35" t="str">
        <f>IFERROR(LOOKUP(E1297,CODIGOS!A:A,CODIGOS!B:B)," ")</f>
        <v xml:space="preserve"> </v>
      </c>
      <c r="G1297" s="9"/>
      <c r="H1297" s="36"/>
      <c r="I1297" s="34"/>
      <c r="J1297" s="38"/>
    </row>
    <row r="1298" spans="1:10">
      <c r="A1298" s="32" t="str">
        <f t="shared" si="12"/>
        <v xml:space="preserve"> </v>
      </c>
      <c r="B1298" s="33"/>
      <c r="C1298" s="35" t="str">
        <f>IFERROR(LOOKUP(D1298,SOCIO!B:B,SOCIO!A:A)," ")</f>
        <v xml:space="preserve"> </v>
      </c>
      <c r="D1298" s="9"/>
      <c r="E1298" s="34"/>
      <c r="F1298" s="35" t="str">
        <f>IFERROR(LOOKUP(E1298,CODIGOS!A:A,CODIGOS!B:B)," ")</f>
        <v xml:space="preserve"> </v>
      </c>
      <c r="G1298" s="9"/>
      <c r="H1298" s="36"/>
      <c r="I1298" s="34"/>
      <c r="J1298" s="38"/>
    </row>
    <row r="1299" spans="1:10">
      <c r="A1299" s="32" t="str">
        <f t="shared" si="12"/>
        <v xml:space="preserve"> </v>
      </c>
      <c r="B1299" s="33"/>
      <c r="C1299" s="35" t="str">
        <f>IFERROR(LOOKUP(D1299,SOCIO!B:B,SOCIO!A:A)," ")</f>
        <v xml:space="preserve"> </v>
      </c>
      <c r="D1299" s="9"/>
      <c r="E1299" s="34"/>
      <c r="F1299" s="35" t="str">
        <f>IFERROR(LOOKUP(E1299,CODIGOS!A:A,CODIGOS!B:B)," ")</f>
        <v xml:space="preserve"> </v>
      </c>
      <c r="G1299" s="9"/>
      <c r="H1299" s="36"/>
      <c r="I1299" s="34"/>
      <c r="J1299" s="38"/>
    </row>
    <row r="1300" spans="1:10">
      <c r="A1300" s="32" t="str">
        <f t="shared" si="12"/>
        <v xml:space="preserve"> </v>
      </c>
      <c r="B1300" s="33"/>
      <c r="C1300" s="35" t="str">
        <f>IFERROR(LOOKUP(D1300,SOCIO!B:B,SOCIO!A:A)," ")</f>
        <v xml:space="preserve"> </v>
      </c>
      <c r="D1300" s="9"/>
      <c r="E1300" s="34"/>
      <c r="F1300" s="35" t="str">
        <f>IFERROR(LOOKUP(E1300,CODIGOS!A:A,CODIGOS!B:B)," ")</f>
        <v xml:space="preserve"> </v>
      </c>
      <c r="G1300" s="9"/>
      <c r="H1300" s="36"/>
      <c r="I1300" s="34"/>
      <c r="J1300" s="38"/>
    </row>
    <row r="1301" spans="1:10">
      <c r="G1301" s="9"/>
      <c r="H1301" s="36"/>
      <c r="I1301" s="34"/>
      <c r="J1301" s="38"/>
    </row>
    <row r="1302" spans="1:10">
      <c r="G1302" s="9"/>
      <c r="H1302" s="36"/>
      <c r="I1302" s="34"/>
      <c r="J1302" s="38"/>
    </row>
    <row r="1303" spans="1:10">
      <c r="G1303" s="9"/>
      <c r="H1303" s="36"/>
      <c r="I1303" s="34"/>
      <c r="J1303" s="38"/>
    </row>
    <row r="1304" spans="1:10">
      <c r="G1304" s="9"/>
      <c r="H1304" s="36"/>
      <c r="I1304" s="34"/>
      <c r="J1304" s="38"/>
    </row>
    <row r="1305" spans="1:10">
      <c r="G1305" s="9"/>
      <c r="H1305" s="36"/>
      <c r="I1305" s="34"/>
      <c r="J1305" s="38"/>
    </row>
    <row r="1306" spans="1:10">
      <c r="G1306" s="9"/>
      <c r="H1306" s="36"/>
      <c r="I1306" s="34"/>
      <c r="J1306" s="38"/>
    </row>
    <row r="1307" spans="1:10">
      <c r="G1307" s="9"/>
      <c r="H1307" s="36"/>
      <c r="I1307" s="34"/>
      <c r="J1307" s="38"/>
    </row>
    <row r="1308" spans="1:10">
      <c r="G1308" s="9"/>
      <c r="H1308" s="36"/>
      <c r="I1308" s="34"/>
      <c r="J1308" s="38"/>
    </row>
  </sheetData>
  <autoFilter ref="A1:H1300" xr:uid="{00000000-0009-0000-0000-000000000000}"/>
  <mergeCells count="1">
    <mergeCell ref="H644:H645"/>
  </mergeCells>
  <pageMargins left="0.70866141732283505" right="0.70866141732283505" top="0.74803149606299202" bottom="0.74803149606299202" header="0.31496062992126" footer="0.31496062992126"/>
  <pageSetup paperSize="9" scale="70" fitToHeight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K599"/>
  <sheetViews>
    <sheetView showGridLines="0" tabSelected="1" zoomScale="110" zoomScaleNormal="110" zoomScaleSheetLayoutView="110" workbookViewId="0">
      <pane ySplit="1" topLeftCell="A2" activePane="bottomLeft" state="frozen"/>
      <selection pane="bottomLeft" activeCell="E186" sqref="E186"/>
    </sheetView>
  </sheetViews>
  <sheetFormatPr baseColWidth="10" defaultColWidth="11.42578125" defaultRowHeight="14.25"/>
  <cols>
    <col min="1" max="1" width="10.7109375" style="84" bestFit="1" customWidth="1"/>
    <col min="2" max="2" width="12.7109375" style="33" bestFit="1" customWidth="1"/>
    <col min="3" max="3" width="9.140625" style="55" customWidth="1"/>
    <col min="4" max="4" width="38.5703125" style="65" customWidth="1"/>
    <col min="5" max="5" width="6.85546875" style="34" customWidth="1"/>
    <col min="6" max="6" width="20.7109375" style="47" customWidth="1"/>
    <col min="7" max="7" width="8.7109375" style="9" customWidth="1"/>
    <col min="8" max="8" width="9.140625" style="36" customWidth="1"/>
    <col min="9" max="9" width="9.140625" style="9" hidden="1" customWidth="1"/>
    <col min="10" max="10" width="7.7109375" style="9" customWidth="1"/>
    <col min="11" max="11" width="8.140625" style="9" customWidth="1"/>
    <col min="12" max="12" width="13.7109375" style="9" bestFit="1" customWidth="1"/>
    <col min="13" max="16384" width="11.42578125" style="9"/>
  </cols>
  <sheetData>
    <row r="1" spans="1:11" s="69" customFormat="1" ht="30">
      <c r="A1" s="82" t="s">
        <v>0</v>
      </c>
      <c r="B1" s="28" t="s">
        <v>1</v>
      </c>
      <c r="C1" s="29" t="s">
        <v>2</v>
      </c>
      <c r="D1" s="64" t="s">
        <v>3</v>
      </c>
      <c r="E1" s="30" t="s">
        <v>4</v>
      </c>
      <c r="F1" s="66" t="s">
        <v>5</v>
      </c>
      <c r="G1" s="30"/>
      <c r="H1" s="31" t="s">
        <v>7</v>
      </c>
      <c r="I1" s="30" t="s">
        <v>1446</v>
      </c>
      <c r="J1" s="30" t="s">
        <v>1081</v>
      </c>
      <c r="K1" s="30" t="s">
        <v>9</v>
      </c>
    </row>
    <row r="2" spans="1:11" ht="14.25" customHeight="1">
      <c r="A2" s="83">
        <v>1</v>
      </c>
      <c r="B2" s="88"/>
      <c r="C2" s="89"/>
      <c r="D2" s="90" t="s">
        <v>1623</v>
      </c>
      <c r="E2" s="91"/>
      <c r="F2" s="92" t="str">
        <f>IFERROR(LOOKUP(E2,CODIGOS!A:A,CODIGOS!B:B)," ")</f>
        <v xml:space="preserve"> </v>
      </c>
      <c r="G2" s="16"/>
      <c r="H2" s="93"/>
      <c r="I2" s="16" t="str">
        <f>IFERROR(LOOKUP(C2,SOCIO!A:A,SOCIO!D:D)," ")</f>
        <v xml:space="preserve"> </v>
      </c>
      <c r="J2" s="16"/>
      <c r="K2" s="16"/>
    </row>
    <row r="3" spans="1:11" ht="14.25" customHeight="1">
      <c r="A3" s="83">
        <f>IF(B3&lt;&gt;0,A2+1," ")</f>
        <v>2</v>
      </c>
      <c r="B3" s="33">
        <v>46034</v>
      </c>
      <c r="C3" s="63">
        <v>2823</v>
      </c>
      <c r="D3" s="70" t="s">
        <v>1092</v>
      </c>
      <c r="E3" s="34">
        <v>11</v>
      </c>
      <c r="F3" s="67" t="str">
        <f>IFERROR(LOOKUP(E3,CODIGOS!A:A,CODIGOS!B:B)," ")</f>
        <v>OLLA SAN ANTÓN</v>
      </c>
      <c r="H3" s="74">
        <f>IF(I3="SI",IFERROR(LOOKUP(E3,CODIGOS!A:A,CODIGOS!C:C)," "),IFERROR(LOOKUP(E3,CODIGOS!A:A,CODIGOS!D:D),""))</f>
        <v>25</v>
      </c>
      <c r="I3" s="35" t="str">
        <f>IFERROR(LOOKUP(C3,SOCIO!A:A,SOCIO!D:D)," ")</f>
        <v>SI</v>
      </c>
      <c r="J3" s="35" t="str">
        <f>IFERROR(LOOKUP(D3,SOCIO!B:B,SOCIO!C:C)," ")</f>
        <v>SI</v>
      </c>
    </row>
    <row r="4" spans="1:11">
      <c r="A4" s="83">
        <f>IF(B4&lt;&gt;0,A3+1," ")</f>
        <v>3</v>
      </c>
      <c r="B4" s="33">
        <v>46034</v>
      </c>
      <c r="C4" s="63">
        <v>2823</v>
      </c>
      <c r="D4" s="70" t="s">
        <v>1092</v>
      </c>
      <c r="E4" s="34">
        <v>12</v>
      </c>
      <c r="F4" s="67" t="str">
        <f>IFERROR(LOOKUP(E4,CODIGOS!A:A,CODIGOS!B:B)," ")</f>
        <v>EXPOSICIÓN CATEDRAL</v>
      </c>
      <c r="H4" s="74">
        <f>IF(J4="SI",IFERROR(LOOKUP(E4,CODIGOS!A:A,CODIGOS!C:C)," "),IFERROR(LOOKUP(E4,CODIGOS!A:A,CODIGOS!D:D),""))</f>
        <v>3</v>
      </c>
      <c r="I4" s="73" t="s">
        <v>20</v>
      </c>
      <c r="J4" s="35" t="str">
        <f>IFERROR(LOOKUP(D4,SOCIO!B:B,SOCIO!C:C)," ")</f>
        <v>SI</v>
      </c>
    </row>
    <row r="5" spans="1:11">
      <c r="A5" s="83">
        <f t="shared" ref="A5:A66" si="0">IF(B5&lt;&gt;0,A4+1," ")</f>
        <v>4</v>
      </c>
      <c r="B5" s="33">
        <v>46034</v>
      </c>
      <c r="C5" s="96" t="s">
        <v>46</v>
      </c>
      <c r="D5" s="70" t="s">
        <v>1635</v>
      </c>
      <c r="E5" s="34">
        <v>11</v>
      </c>
      <c r="F5" s="67" t="str">
        <f>IFERROR(LOOKUP(E5,CODIGOS!A:A,CODIGOS!B:B)," ")</f>
        <v>OLLA SAN ANTÓN</v>
      </c>
      <c r="H5" s="74">
        <f>IF(J5="SI",IFERROR(LOOKUP(E5,CODIGOS!A:A,CODIGOS!C:C)," "),IFERROR(LOOKUP(E5,CODIGOS!A:A,CODIGOS!D:D),""))</f>
        <v>25</v>
      </c>
      <c r="I5" s="35" t="str">
        <f>IFERROR(LOOKUP(C5,SOCIO!A:A,SOCIO!D:D)," ")</f>
        <v xml:space="preserve"> </v>
      </c>
      <c r="J5" s="35" t="str">
        <f>IFERROR(LOOKUP(D5,SOCIO!B:B,SOCIO!C:C)," ")</f>
        <v>SI</v>
      </c>
    </row>
    <row r="6" spans="1:11">
      <c r="A6" s="83">
        <f t="shared" si="0"/>
        <v>5</v>
      </c>
      <c r="B6" s="33">
        <v>46034</v>
      </c>
      <c r="C6" s="96" t="s">
        <v>178</v>
      </c>
      <c r="D6" s="97" t="s">
        <v>1634</v>
      </c>
      <c r="E6" s="34">
        <v>11</v>
      </c>
      <c r="F6" s="67" t="str">
        <f>IFERROR(LOOKUP(E6,CODIGOS!A:A,CODIGOS!B:B)," ")</f>
        <v>OLLA SAN ANTÓN</v>
      </c>
      <c r="H6" s="74">
        <f>IF(J6="SI",IFERROR(LOOKUP(E6,CODIGOS!A:A,CODIGOS!C:C)," "),IFERROR(LOOKUP(E6,CODIGOS!A:A,CODIGOS!D:D),""))</f>
        <v>30</v>
      </c>
      <c r="I6" s="35" t="str">
        <f>IFERROR(LOOKUP(C6,SOCIO!A:A,SOCIO!D:D)," ")</f>
        <v xml:space="preserve"> </v>
      </c>
      <c r="J6" s="35" t="str">
        <f>IFERROR(LOOKUP(D6,SOCIO!B:B,SOCIO!C:C)," ")</f>
        <v xml:space="preserve"> </v>
      </c>
    </row>
    <row r="7" spans="1:11">
      <c r="A7" s="83">
        <f t="shared" si="0"/>
        <v>6</v>
      </c>
      <c r="B7" s="33">
        <v>46034</v>
      </c>
      <c r="C7" s="63">
        <v>1920</v>
      </c>
      <c r="D7" s="97" t="s">
        <v>1236</v>
      </c>
      <c r="E7" s="34">
        <v>12</v>
      </c>
      <c r="F7" s="67" t="str">
        <f>IFERROR(LOOKUP(E7,CODIGOS!A:A,CODIGOS!B:B)," ")</f>
        <v>EXPOSICIÓN CATEDRAL</v>
      </c>
      <c r="H7" s="74">
        <f>IF(J7="SI",IFERROR(LOOKUP(E7,CODIGOS!A:A,CODIGOS!C:C)," "),IFERROR(LOOKUP(E7,CODIGOS!A:A,CODIGOS!D:D),""))</f>
        <v>3</v>
      </c>
      <c r="I7" s="35" t="str">
        <f>IFERROR(LOOKUP(C7,SOCIO!A:A,SOCIO!D:D)," ")</f>
        <v>SI</v>
      </c>
      <c r="J7" s="35" t="str">
        <f>IFERROR(LOOKUP(D7,SOCIO!B:B,SOCIO!C:C)," ")</f>
        <v>SI</v>
      </c>
    </row>
    <row r="8" spans="1:11">
      <c r="A8" s="83">
        <f t="shared" si="0"/>
        <v>7</v>
      </c>
      <c r="B8" s="33">
        <v>46034</v>
      </c>
      <c r="C8" s="96" t="s">
        <v>46</v>
      </c>
      <c r="D8" s="97" t="s">
        <v>1635</v>
      </c>
      <c r="E8" s="34">
        <v>12</v>
      </c>
      <c r="F8" s="67" t="str">
        <f>IFERROR(LOOKUP(E8,CODIGOS!A:A,CODIGOS!B:B)," ")</f>
        <v>EXPOSICIÓN CATEDRAL</v>
      </c>
      <c r="H8" s="74">
        <f>IF(J8="SI",IFERROR(LOOKUP(E8,CODIGOS!A:A,CODIGOS!C:C)," "),IFERROR(LOOKUP(E8,CODIGOS!A:A,CODIGOS!D:D),""))</f>
        <v>3</v>
      </c>
      <c r="I8" s="35" t="str">
        <f>IFERROR(LOOKUP(C8,SOCIO!A:A,SOCIO!D:D)," ")</f>
        <v xml:space="preserve"> </v>
      </c>
      <c r="J8" s="35" t="str">
        <f>IFERROR(LOOKUP(D8,SOCIO!B:B,SOCIO!C:C)," ")</f>
        <v>SI</v>
      </c>
    </row>
    <row r="9" spans="1:11">
      <c r="A9" s="83">
        <f t="shared" si="0"/>
        <v>8</v>
      </c>
      <c r="B9" s="33">
        <v>46034</v>
      </c>
      <c r="C9" s="63">
        <v>1920</v>
      </c>
      <c r="D9" s="97" t="s">
        <v>1236</v>
      </c>
      <c r="E9" s="34">
        <v>10</v>
      </c>
      <c r="F9" s="67" t="str">
        <f>IFERROR(LOOKUP(E9,CODIGOS!A:A,CODIGOS!B:B)," ")</f>
        <v>ÓRGIVA</v>
      </c>
      <c r="H9" s="74">
        <f>IF(J9="SI",IFERROR(LOOKUP(E9,CODIGOS!A:A,CODIGOS!C:C)," "),IFERROR(LOOKUP(E9,CODIGOS!A:A,CODIGOS!D:D),""))</f>
        <v>22</v>
      </c>
      <c r="I9" s="35" t="str">
        <f>IFERROR(LOOKUP(C9,SOCIO!A:A,SOCIO!D:D)," ")</f>
        <v>SI</v>
      </c>
      <c r="J9" s="35" t="str">
        <f>IFERROR(LOOKUP(D9,SOCIO!B:B,SOCIO!C:C)," ")</f>
        <v>SI</v>
      </c>
    </row>
    <row r="10" spans="1:11">
      <c r="A10" s="83">
        <f t="shared" si="0"/>
        <v>9</v>
      </c>
      <c r="B10" s="33">
        <v>46034</v>
      </c>
      <c r="C10" s="96" t="s">
        <v>46</v>
      </c>
      <c r="D10" s="97" t="s">
        <v>1635</v>
      </c>
      <c r="E10" s="34">
        <v>10</v>
      </c>
      <c r="F10" s="67" t="str">
        <f>IFERROR(LOOKUP(E10,CODIGOS!A:A,CODIGOS!B:B)," ")</f>
        <v>ÓRGIVA</v>
      </c>
      <c r="H10" s="74">
        <f>IF(J10="SI",IFERROR(LOOKUP(E10,CODIGOS!A:A,CODIGOS!C:C)," "),IFERROR(LOOKUP(E10,CODIGOS!A:A,CODIGOS!D:D),""))</f>
        <v>22</v>
      </c>
      <c r="I10" s="35" t="str">
        <f>IFERROR(LOOKUP(C10,SOCIO!A:A,SOCIO!D:D)," ")</f>
        <v xml:space="preserve"> </v>
      </c>
      <c r="J10" s="35" t="str">
        <f>IFERROR(LOOKUP(D10,SOCIO!B:B,SOCIO!C:C)," ")</f>
        <v>SI</v>
      </c>
    </row>
    <row r="11" spans="1:11">
      <c r="A11" s="83">
        <f t="shared" si="0"/>
        <v>10</v>
      </c>
      <c r="B11" s="33">
        <v>46034</v>
      </c>
      <c r="C11" s="63">
        <v>2673</v>
      </c>
      <c r="D11" s="97" t="s">
        <v>1636</v>
      </c>
      <c r="E11" s="34">
        <v>11</v>
      </c>
      <c r="F11" s="67" t="str">
        <f>IFERROR(LOOKUP(E11,CODIGOS!A:A,CODIGOS!B:B)," ")</f>
        <v>OLLA SAN ANTÓN</v>
      </c>
      <c r="H11" s="74">
        <f>IF(J11="SI",IFERROR(LOOKUP(E11,CODIGOS!A:A,CODIGOS!C:C)," "),IFERROR(LOOKUP(E11,CODIGOS!A:A,CODIGOS!D:D),""))</f>
        <v>25</v>
      </c>
      <c r="I11" s="35" t="str">
        <f>IFERROR(LOOKUP(C11,SOCIO!A:A,SOCIO!D:D)," ")</f>
        <v>SI</v>
      </c>
      <c r="J11" s="35" t="str">
        <f>IFERROR(LOOKUP(D11,SOCIO!B:B,SOCIO!C:C)," ")</f>
        <v>SI</v>
      </c>
    </row>
    <row r="12" spans="1:11">
      <c r="A12" s="83">
        <f t="shared" si="0"/>
        <v>11</v>
      </c>
      <c r="B12" s="33">
        <v>46034</v>
      </c>
      <c r="C12" s="63">
        <v>2900</v>
      </c>
      <c r="D12" s="97" t="s">
        <v>1315</v>
      </c>
      <c r="E12" s="34">
        <v>11</v>
      </c>
      <c r="F12" s="67" t="str">
        <f>IFERROR(LOOKUP(E12,CODIGOS!A:A,CODIGOS!B:B)," ")</f>
        <v>OLLA SAN ANTÓN</v>
      </c>
      <c r="H12" s="74">
        <f>IF(J12="SI",IFERROR(LOOKUP(E12,CODIGOS!A:A,CODIGOS!C:C)," "),IFERROR(LOOKUP(E12,CODIGOS!A:A,CODIGOS!D:D),""))</f>
        <v>25</v>
      </c>
      <c r="I12" s="35" t="str">
        <f>IFERROR(LOOKUP(C12,SOCIO!A:A,SOCIO!D:D)," ")</f>
        <v>SI</v>
      </c>
      <c r="J12" s="35" t="str">
        <f>IFERROR(LOOKUP(D12,SOCIO!B:B,SOCIO!C:C)," ")</f>
        <v>SI</v>
      </c>
    </row>
    <row r="13" spans="1:11">
      <c r="A13" s="83">
        <f t="shared" si="0"/>
        <v>12</v>
      </c>
      <c r="B13" s="33">
        <v>46034</v>
      </c>
      <c r="C13" s="96" t="s">
        <v>1637</v>
      </c>
      <c r="D13" s="97" t="s">
        <v>1638</v>
      </c>
      <c r="E13" s="34">
        <v>11</v>
      </c>
      <c r="F13" s="67" t="str">
        <f>IFERROR(LOOKUP(E13,CODIGOS!A:A,CODIGOS!B:B)," ")</f>
        <v>OLLA SAN ANTÓN</v>
      </c>
      <c r="H13" s="74">
        <v>30</v>
      </c>
      <c r="I13" s="35" t="str">
        <f>IFERROR(LOOKUP(C13,SOCIO!A:A,SOCIO!D:D)," ")</f>
        <v xml:space="preserve"> </v>
      </c>
      <c r="J13" s="35" t="str">
        <f>IFERROR(LOOKUP(D13,SOCIO!B:B,SOCIO!C:C)," ")</f>
        <v>SI</v>
      </c>
    </row>
    <row r="14" spans="1:11">
      <c r="A14" s="83">
        <f t="shared" si="0"/>
        <v>13</v>
      </c>
      <c r="B14" s="33">
        <v>46034</v>
      </c>
      <c r="C14" s="63">
        <v>2134</v>
      </c>
      <c r="D14" s="97" t="s">
        <v>1639</v>
      </c>
      <c r="E14" s="34">
        <v>11</v>
      </c>
      <c r="F14" s="67" t="str">
        <f>IFERROR(LOOKUP(E14,CODIGOS!A:A,CODIGOS!B:B)," ")</f>
        <v>OLLA SAN ANTÓN</v>
      </c>
      <c r="H14" s="74">
        <f>IF(J14="SI",IFERROR(LOOKUP(E14,CODIGOS!A:A,CODIGOS!C:C)," "),IFERROR(LOOKUP(E14,CODIGOS!A:A,CODIGOS!D:D),""))</f>
        <v>25</v>
      </c>
      <c r="I14" s="35" t="str">
        <f>IFERROR(LOOKUP(C14,SOCIO!A:A,SOCIO!D:D)," ")</f>
        <v>NO</v>
      </c>
      <c r="J14" s="35" t="str">
        <f>IFERROR(LOOKUP(D14,SOCIO!B:B,SOCIO!C:C)," ")</f>
        <v>SI</v>
      </c>
    </row>
    <row r="15" spans="1:11">
      <c r="A15" s="83">
        <f t="shared" si="0"/>
        <v>14</v>
      </c>
      <c r="B15" s="33">
        <v>46034</v>
      </c>
      <c r="C15" s="63">
        <v>2961</v>
      </c>
      <c r="D15" s="97" t="s">
        <v>1640</v>
      </c>
      <c r="E15" s="34">
        <v>11</v>
      </c>
      <c r="F15" s="67" t="str">
        <f>IFERROR(LOOKUP(E15,CODIGOS!A:A,CODIGOS!B:B)," ")</f>
        <v>OLLA SAN ANTÓN</v>
      </c>
      <c r="H15" s="74">
        <f>IF(J15="SI",IFERROR(LOOKUP(E15,CODIGOS!A:A,CODIGOS!C:C)," "),IFERROR(LOOKUP(E15,CODIGOS!A:A,CODIGOS!D:D),""))</f>
        <v>25</v>
      </c>
      <c r="I15" s="35" t="str">
        <f>IFERROR(LOOKUP(C15,SOCIO!A:A,SOCIO!D:D)," ")</f>
        <v>SI</v>
      </c>
      <c r="J15" s="35" t="str">
        <f>IFERROR(LOOKUP(D15,SOCIO!B:B,SOCIO!C:C)," ")</f>
        <v>SI</v>
      </c>
    </row>
    <row r="16" spans="1:11">
      <c r="A16" s="83">
        <f t="shared" si="0"/>
        <v>15</v>
      </c>
      <c r="B16" s="33">
        <v>46034</v>
      </c>
      <c r="C16" s="63">
        <v>3152</v>
      </c>
      <c r="D16" s="97" t="s">
        <v>1641</v>
      </c>
      <c r="E16" s="34">
        <v>2</v>
      </c>
      <c r="F16" s="67" t="str">
        <f>IFERROR(LOOKUP(E16,CODIGOS!A:A,CODIGOS!B:B)," ")</f>
        <v>CUOTA NUEVO SOCIO</v>
      </c>
      <c r="H16" s="74">
        <f>IF(J16="SI",IFERROR(LOOKUP(E16,CODIGOS!A:A,CODIGOS!C:C)," "),IFERROR(LOOKUP(E16,CODIGOS!A:A,CODIGOS!D:D),""))</f>
        <v>30</v>
      </c>
      <c r="I16" s="35" t="str">
        <f>IFERROR(LOOKUP(C16,SOCIO!A:A,SOCIO!D:D)," ")</f>
        <v>SI</v>
      </c>
      <c r="J16" s="35" t="str">
        <f>IFERROR(LOOKUP(D16,SOCIO!B:B,SOCIO!C:C)," ")</f>
        <v>SI</v>
      </c>
    </row>
    <row r="17" spans="1:10">
      <c r="A17" s="83">
        <f t="shared" si="0"/>
        <v>16</v>
      </c>
      <c r="B17" s="33">
        <v>46034</v>
      </c>
      <c r="C17" s="63">
        <v>3153</v>
      </c>
      <c r="D17" s="97" t="s">
        <v>1642</v>
      </c>
      <c r="E17" s="34">
        <v>2</v>
      </c>
      <c r="F17" s="67" t="str">
        <f>IFERROR(LOOKUP(E17,CODIGOS!A:A,CODIGOS!B:B)," ")</f>
        <v>CUOTA NUEVO SOCIO</v>
      </c>
      <c r="H17" s="74">
        <f>IF(J17="SI",IFERROR(LOOKUP(E17,CODIGOS!A:A,CODIGOS!C:C)," "),IFERROR(LOOKUP(E17,CODIGOS!A:A,CODIGOS!D:D),""))</f>
        <v>30</v>
      </c>
      <c r="I17" s="35" t="str">
        <f>IFERROR(LOOKUP(C17,SOCIO!A:A,SOCIO!D:D)," ")</f>
        <v>SI</v>
      </c>
      <c r="J17" s="35" t="str">
        <f>IFERROR(LOOKUP(D17,SOCIO!B:B,SOCIO!C:C)," ")</f>
        <v>SI</v>
      </c>
    </row>
    <row r="18" spans="1:10">
      <c r="A18" s="83">
        <f t="shared" si="0"/>
        <v>17</v>
      </c>
      <c r="B18" s="33">
        <v>46035</v>
      </c>
      <c r="C18" s="63">
        <v>2900</v>
      </c>
      <c r="D18" s="70" t="s">
        <v>1315</v>
      </c>
      <c r="E18" s="34">
        <v>10</v>
      </c>
      <c r="F18" s="67" t="str">
        <f>IFERROR(LOOKUP(E18,CODIGOS!A:A,CODIGOS!B:B)," ")</f>
        <v>ÓRGIVA</v>
      </c>
      <c r="H18" s="74">
        <f>IF(J18="SI",IFERROR(LOOKUP(E18,CODIGOS!A:A,CODIGOS!C:C)," "),IFERROR(LOOKUP(E18,CODIGOS!A:A,CODIGOS!D:D),""))</f>
        <v>22</v>
      </c>
      <c r="I18" s="35" t="str">
        <f>IFERROR(LOOKUP(C18,SOCIO!A:A,SOCIO!D:D)," ")</f>
        <v>SI</v>
      </c>
      <c r="J18" s="35" t="str">
        <f>IFERROR(LOOKUP(D18,SOCIO!B:B,SOCIO!C:C)," ")</f>
        <v>SI</v>
      </c>
    </row>
    <row r="19" spans="1:10">
      <c r="A19" s="83">
        <f t="shared" si="0"/>
        <v>18</v>
      </c>
      <c r="B19" s="33">
        <v>46035</v>
      </c>
      <c r="C19" s="96" t="s">
        <v>1637</v>
      </c>
      <c r="D19" s="97" t="s">
        <v>1638</v>
      </c>
      <c r="E19" s="34">
        <v>10</v>
      </c>
      <c r="F19" s="67" t="str">
        <f>IFERROR(LOOKUP(E19,CODIGOS!A:A,CODIGOS!B:B)," ")</f>
        <v>ÓRGIVA</v>
      </c>
      <c r="H19" s="74">
        <v>27</v>
      </c>
      <c r="I19" s="35" t="str">
        <f>IFERROR(LOOKUP(C19,SOCIO!A:A,SOCIO!D:D)," ")</f>
        <v xml:space="preserve"> </v>
      </c>
      <c r="J19" s="35" t="str">
        <f>IFERROR(LOOKUP(D19,SOCIO!B:B,SOCIO!C:C)," ")</f>
        <v>SI</v>
      </c>
    </row>
    <row r="20" spans="1:10">
      <c r="A20" s="83">
        <f t="shared" si="0"/>
        <v>19</v>
      </c>
      <c r="B20" s="33">
        <v>46035</v>
      </c>
      <c r="C20" s="63">
        <v>2109</v>
      </c>
      <c r="D20" s="97" t="s">
        <v>1643</v>
      </c>
      <c r="E20" s="34">
        <v>10</v>
      </c>
      <c r="F20" s="67" t="str">
        <f>IFERROR(LOOKUP(E20,CODIGOS!A:A,CODIGOS!B:B)," ")</f>
        <v>ÓRGIVA</v>
      </c>
      <c r="H20" s="74">
        <f>IF(J20="SI",IFERROR(LOOKUP(E20,CODIGOS!A:A,CODIGOS!C:C)," "),IFERROR(LOOKUP(E20,CODIGOS!A:A,CODIGOS!D:D),""))</f>
        <v>22</v>
      </c>
      <c r="I20" s="35" t="str">
        <f>IFERROR(LOOKUP(C20,SOCIO!A:A,SOCIO!D:D)," ")</f>
        <v>SI</v>
      </c>
      <c r="J20" s="35" t="str">
        <f>IFERROR(LOOKUP(D20,SOCIO!B:B,SOCIO!C:C)," ")</f>
        <v>SI</v>
      </c>
    </row>
    <row r="21" spans="1:10">
      <c r="A21" s="83">
        <f t="shared" si="0"/>
        <v>20</v>
      </c>
      <c r="B21" s="33">
        <v>46035</v>
      </c>
      <c r="C21" s="63">
        <v>2108</v>
      </c>
      <c r="D21" s="97" t="s">
        <v>1133</v>
      </c>
      <c r="E21" s="34">
        <v>10</v>
      </c>
      <c r="F21" s="67" t="str">
        <f>IFERROR(LOOKUP(E21,CODIGOS!A:A,CODIGOS!B:B)," ")</f>
        <v>ÓRGIVA</v>
      </c>
      <c r="H21" s="74">
        <f>IF(J21="SI",IFERROR(LOOKUP(E21,CODIGOS!A:A,CODIGOS!C:C)," "),IFERROR(LOOKUP(E21,CODIGOS!A:A,CODIGOS!D:D),""))</f>
        <v>22</v>
      </c>
      <c r="I21" s="35" t="str">
        <f>IFERROR(LOOKUP(C21,SOCIO!A:A,SOCIO!D:D)," ")</f>
        <v>SI</v>
      </c>
      <c r="J21" s="35" t="str">
        <f>IFERROR(LOOKUP(D21,SOCIO!B:B,SOCIO!C:C)," ")</f>
        <v>SI</v>
      </c>
    </row>
    <row r="22" spans="1:10">
      <c r="A22" s="83">
        <f t="shared" si="0"/>
        <v>21</v>
      </c>
      <c r="B22" s="33">
        <v>46035</v>
      </c>
      <c r="C22" s="63">
        <v>2109</v>
      </c>
      <c r="D22" s="97" t="s">
        <v>1643</v>
      </c>
      <c r="E22" s="34">
        <v>11</v>
      </c>
      <c r="F22" s="67" t="str">
        <f>IFERROR(LOOKUP(E22,CODIGOS!A:A,CODIGOS!B:B)," ")</f>
        <v>OLLA SAN ANTÓN</v>
      </c>
      <c r="H22" s="74">
        <f>IF(J22="SI",IFERROR(LOOKUP(E22,CODIGOS!A:A,CODIGOS!C:C)," "),IFERROR(LOOKUP(E22,CODIGOS!A:A,CODIGOS!D:D),""))</f>
        <v>25</v>
      </c>
      <c r="I22" s="35" t="str">
        <f>IFERROR(LOOKUP(C22,SOCIO!A:A,SOCIO!D:D)," ")</f>
        <v>SI</v>
      </c>
      <c r="J22" s="35" t="str">
        <f>IFERROR(LOOKUP(D22,SOCIO!B:B,SOCIO!C:C)," ")</f>
        <v>SI</v>
      </c>
    </row>
    <row r="23" spans="1:10">
      <c r="A23" s="83">
        <f t="shared" si="0"/>
        <v>22</v>
      </c>
      <c r="B23" s="33">
        <v>46035</v>
      </c>
      <c r="C23" s="63">
        <v>2108</v>
      </c>
      <c r="D23" s="97" t="s">
        <v>1133</v>
      </c>
      <c r="E23" s="34">
        <v>11</v>
      </c>
      <c r="F23" s="67" t="str">
        <f>IFERROR(LOOKUP(E23,CODIGOS!A:A,CODIGOS!B:B)," ")</f>
        <v>OLLA SAN ANTÓN</v>
      </c>
      <c r="H23" s="74">
        <f>IF(J23="SI",IFERROR(LOOKUP(E23,CODIGOS!A:A,CODIGOS!C:C)," "),IFERROR(LOOKUP(E23,CODIGOS!A:A,CODIGOS!D:D),""))</f>
        <v>25</v>
      </c>
      <c r="I23" s="35" t="str">
        <f>IFERROR(LOOKUP(C23,SOCIO!A:A,SOCIO!D:D)," ")</f>
        <v>SI</v>
      </c>
      <c r="J23" s="35" t="str">
        <f>IFERROR(LOOKUP(D23,SOCIO!B:B,SOCIO!C:C)," ")</f>
        <v>SI</v>
      </c>
    </row>
    <row r="24" spans="1:10">
      <c r="A24" s="83">
        <f t="shared" si="0"/>
        <v>23</v>
      </c>
      <c r="B24" s="33">
        <v>46035</v>
      </c>
      <c r="C24" s="63">
        <v>2900</v>
      </c>
      <c r="D24" s="70" t="s">
        <v>1315</v>
      </c>
      <c r="E24" s="34">
        <v>12</v>
      </c>
      <c r="F24" s="67" t="str">
        <f>IFERROR(LOOKUP(E24,CODIGOS!A:A,CODIGOS!B:B)," ")</f>
        <v>EXPOSICIÓN CATEDRAL</v>
      </c>
      <c r="H24" s="74">
        <f>IF(J24="SI",IFERROR(LOOKUP(E24,CODIGOS!A:A,CODIGOS!C:C)," "),IFERROR(LOOKUP(E24,CODIGOS!A:A,CODIGOS!D:D),""))</f>
        <v>3</v>
      </c>
      <c r="I24" s="35" t="str">
        <f>IFERROR(LOOKUP(C24,SOCIO!A:A,SOCIO!D:D)," ")</f>
        <v>SI</v>
      </c>
      <c r="J24" s="35" t="str">
        <f>IFERROR(LOOKUP(D24,SOCIO!B:B,SOCIO!C:C)," ")</f>
        <v>SI</v>
      </c>
    </row>
    <row r="25" spans="1:10">
      <c r="A25" s="83">
        <f t="shared" si="0"/>
        <v>24</v>
      </c>
      <c r="B25" s="33">
        <v>46035</v>
      </c>
      <c r="C25" s="63">
        <f>IFERROR(LOOKUP(D25,SOCIO!B:B,SOCIO!A:A),"")</f>
        <v>2709</v>
      </c>
      <c r="D25" s="97" t="s">
        <v>1644</v>
      </c>
      <c r="E25" s="34">
        <v>10</v>
      </c>
      <c r="F25" s="67" t="str">
        <f>IFERROR(LOOKUP(E25,CODIGOS!A:A,CODIGOS!B:B)," ")</f>
        <v>ÓRGIVA</v>
      </c>
      <c r="H25" s="74">
        <f>IF(J25="SI",IFERROR(LOOKUP(E25,CODIGOS!A:A,CODIGOS!C:C)," "),IFERROR(LOOKUP(E25,CODIGOS!A:A,CODIGOS!D:D),""))</f>
        <v>22</v>
      </c>
      <c r="I25" s="35" t="str">
        <f>IFERROR(LOOKUP(C25,SOCIO!A:A,SOCIO!D:D)," ")</f>
        <v>SI</v>
      </c>
      <c r="J25" s="35" t="str">
        <f>IFERROR(LOOKUP(D25,SOCIO!B:B,SOCIO!C:C)," ")</f>
        <v>SI</v>
      </c>
    </row>
    <row r="26" spans="1:10">
      <c r="A26" s="83">
        <f t="shared" si="0"/>
        <v>25</v>
      </c>
      <c r="B26" s="33">
        <v>46035</v>
      </c>
      <c r="C26" s="63">
        <v>2710</v>
      </c>
      <c r="D26" s="97" t="s">
        <v>1417</v>
      </c>
      <c r="E26" s="34">
        <v>10</v>
      </c>
      <c r="F26" s="67" t="str">
        <f>IFERROR(LOOKUP(E26,CODIGOS!A:A,CODIGOS!B:B)," ")</f>
        <v>ÓRGIVA</v>
      </c>
      <c r="H26" s="74">
        <f>IF(J26="SI",IFERROR(LOOKUP(E26,CODIGOS!A:A,CODIGOS!C:C)," "),IFERROR(LOOKUP(E26,CODIGOS!A:A,CODIGOS!D:D),""))</f>
        <v>22</v>
      </c>
      <c r="I26" s="35" t="str">
        <f>IFERROR(LOOKUP(C26,SOCIO!A:A,SOCIO!D:D)," ")</f>
        <v>SI</v>
      </c>
      <c r="J26" s="35" t="str">
        <f>IFERROR(LOOKUP(D26,SOCIO!B:B,SOCIO!C:C)," ")</f>
        <v>SI</v>
      </c>
    </row>
    <row r="27" spans="1:10">
      <c r="A27" s="83">
        <f t="shared" si="0"/>
        <v>26</v>
      </c>
      <c r="B27" s="33">
        <v>46035</v>
      </c>
      <c r="C27" s="63">
        <v>2612</v>
      </c>
      <c r="D27" s="97" t="s">
        <v>1645</v>
      </c>
      <c r="E27" s="34">
        <v>10</v>
      </c>
      <c r="F27" s="67" t="str">
        <f>IFERROR(LOOKUP(E27,CODIGOS!A:A,CODIGOS!B:B)," ")</f>
        <v>ÓRGIVA</v>
      </c>
      <c r="H27" s="74">
        <f>IF(J27="SI",IFERROR(LOOKUP(E27,CODIGOS!A:A,CODIGOS!C:C)," "),IFERROR(LOOKUP(E27,CODIGOS!A:A,CODIGOS!D:D),""))</f>
        <v>22</v>
      </c>
      <c r="I27" s="35" t="str">
        <f>IFERROR(LOOKUP(C27,SOCIO!A:A,SOCIO!D:D)," ")</f>
        <v>NO</v>
      </c>
      <c r="J27" s="35" t="str">
        <f>IFERROR(LOOKUP(D27,SOCIO!B:B,SOCIO!C:C)," ")</f>
        <v>SI</v>
      </c>
    </row>
    <row r="28" spans="1:10">
      <c r="A28" s="83">
        <f t="shared" si="0"/>
        <v>27</v>
      </c>
      <c r="B28" s="33">
        <v>46035</v>
      </c>
      <c r="C28" s="63">
        <v>2527</v>
      </c>
      <c r="D28" s="97" t="s">
        <v>1348</v>
      </c>
      <c r="E28" s="34">
        <v>10</v>
      </c>
      <c r="F28" s="67" t="str">
        <f>IFERROR(LOOKUP(E28,CODIGOS!A:A,CODIGOS!B:B)," ")</f>
        <v>ÓRGIVA</v>
      </c>
      <c r="H28" s="74">
        <f>IF(J28="SI",IFERROR(LOOKUP(E28,CODIGOS!A:A,CODIGOS!C:C)," "),IFERROR(LOOKUP(E28,CODIGOS!A:A,CODIGOS!D:D),""))</f>
        <v>22</v>
      </c>
      <c r="I28" s="35" t="str">
        <f>IFERROR(LOOKUP(C28,SOCIO!A:A,SOCIO!D:D)," ")</f>
        <v>NO</v>
      </c>
      <c r="J28" s="35" t="str">
        <f>IFERROR(LOOKUP(D28,SOCIO!B:B,SOCIO!C:C)," ")</f>
        <v>SI</v>
      </c>
    </row>
    <row r="29" spans="1:10">
      <c r="A29" s="83">
        <f t="shared" si="0"/>
        <v>28</v>
      </c>
      <c r="B29" s="33">
        <v>46035</v>
      </c>
      <c r="C29" s="63">
        <v>2553</v>
      </c>
      <c r="D29" s="97" t="s">
        <v>1646</v>
      </c>
      <c r="E29" s="34">
        <v>10</v>
      </c>
      <c r="F29" s="67" t="str">
        <f>IFERROR(LOOKUP(E29,CODIGOS!A:A,CODIGOS!B:B)," ")</f>
        <v>ÓRGIVA</v>
      </c>
      <c r="H29" s="74">
        <f>IF(J29="SI",IFERROR(LOOKUP(E29,CODIGOS!A:A,CODIGOS!C:C)," "),IFERROR(LOOKUP(E29,CODIGOS!A:A,CODIGOS!D:D),""))</f>
        <v>22</v>
      </c>
      <c r="I29" s="35" t="str">
        <f>IFERROR(LOOKUP(C29,SOCIO!A:A,SOCIO!D:D)," ")</f>
        <v>NO</v>
      </c>
      <c r="J29" s="35" t="str">
        <f>IFERROR(LOOKUP(D29,SOCIO!B:B,SOCIO!C:C)," ")</f>
        <v>SI</v>
      </c>
    </row>
    <row r="30" spans="1:10">
      <c r="A30" s="83">
        <f t="shared" si="0"/>
        <v>29</v>
      </c>
      <c r="B30" s="33">
        <v>46035</v>
      </c>
      <c r="C30" s="63">
        <v>2817</v>
      </c>
      <c r="D30" s="97" t="s">
        <v>1106</v>
      </c>
      <c r="E30" s="34">
        <v>10</v>
      </c>
      <c r="F30" s="67" t="str">
        <f>IFERROR(LOOKUP(E30,CODIGOS!A:A,CODIGOS!B:B)," ")</f>
        <v>ÓRGIVA</v>
      </c>
      <c r="H30" s="74">
        <f>IF(J30="SI",IFERROR(LOOKUP(E30,CODIGOS!A:A,CODIGOS!C:C)," "),IFERROR(LOOKUP(E30,CODIGOS!A:A,CODIGOS!D:D),""))</f>
        <v>22</v>
      </c>
      <c r="I30" s="35" t="str">
        <f>IFERROR(LOOKUP(C30,SOCIO!A:A,SOCIO!D:D)," ")</f>
        <v>SI</v>
      </c>
      <c r="J30" s="35" t="str">
        <f>IFERROR(LOOKUP(D30,SOCIO!B:B,SOCIO!C:C)," ")</f>
        <v>SI</v>
      </c>
    </row>
    <row r="31" spans="1:10">
      <c r="A31" s="83">
        <f t="shared" si="0"/>
        <v>30</v>
      </c>
      <c r="B31" s="33">
        <v>46035</v>
      </c>
      <c r="C31" s="63">
        <v>2755</v>
      </c>
      <c r="D31" s="97" t="s">
        <v>1647</v>
      </c>
      <c r="E31" s="34">
        <v>10</v>
      </c>
      <c r="F31" s="67" t="str">
        <f>IFERROR(LOOKUP(E31,CODIGOS!A:A,CODIGOS!B:B)," ")</f>
        <v>ÓRGIVA</v>
      </c>
      <c r="H31" s="74">
        <f>IF(J31="SI",IFERROR(LOOKUP(E31,CODIGOS!A:A,CODIGOS!C:C)," "),IFERROR(LOOKUP(E31,CODIGOS!A:A,CODIGOS!D:D),""))</f>
        <v>22</v>
      </c>
      <c r="I31" s="35" t="str">
        <f>IFERROR(LOOKUP(C31,SOCIO!A:A,SOCIO!D:D)," ")</f>
        <v>SI</v>
      </c>
      <c r="J31" s="35" t="str">
        <f>IFERROR(LOOKUP(D31,SOCIO!B:B,SOCIO!C:C)," ")</f>
        <v>SI</v>
      </c>
    </row>
    <row r="32" spans="1:10">
      <c r="A32" s="83">
        <f t="shared" si="0"/>
        <v>31</v>
      </c>
      <c r="B32" s="33">
        <v>46035</v>
      </c>
      <c r="C32" s="63">
        <v>2756</v>
      </c>
      <c r="D32" s="97" t="s">
        <v>1248</v>
      </c>
      <c r="E32" s="34">
        <v>10</v>
      </c>
      <c r="F32" s="67" t="str">
        <f>IFERROR(LOOKUP(E32,CODIGOS!A:A,CODIGOS!B:B)," ")</f>
        <v>ÓRGIVA</v>
      </c>
      <c r="H32" s="74">
        <f>IF(J32="SI",IFERROR(LOOKUP(E32,CODIGOS!A:A,CODIGOS!C:C)," "),IFERROR(LOOKUP(E32,CODIGOS!A:A,CODIGOS!D:D),""))</f>
        <v>22</v>
      </c>
      <c r="I32" s="35" t="str">
        <f>IFERROR(LOOKUP(C32,SOCIO!A:A,SOCIO!D:D)," ")</f>
        <v>SI</v>
      </c>
      <c r="J32" s="35" t="str">
        <f>IFERROR(LOOKUP(D32,SOCIO!B:B,SOCIO!C:C)," ")</f>
        <v>SI</v>
      </c>
    </row>
    <row r="33" spans="1:10">
      <c r="A33" s="83">
        <f t="shared" si="0"/>
        <v>32</v>
      </c>
      <c r="B33" s="33">
        <v>46035</v>
      </c>
      <c r="C33" s="63">
        <v>2764</v>
      </c>
      <c r="D33" s="97" t="s">
        <v>1648</v>
      </c>
      <c r="E33" s="34">
        <v>10</v>
      </c>
      <c r="F33" s="67" t="str">
        <f>IFERROR(LOOKUP(E33,CODIGOS!A:A,CODIGOS!B:B)," ")</f>
        <v>ÓRGIVA</v>
      </c>
      <c r="H33" s="74">
        <f>IF(J33="SI",IFERROR(LOOKUP(E33,CODIGOS!A:A,CODIGOS!C:C)," "),IFERROR(LOOKUP(E33,CODIGOS!A:A,CODIGOS!D:D),""))</f>
        <v>22</v>
      </c>
      <c r="I33" s="35" t="str">
        <f>IFERROR(LOOKUP(C33,SOCIO!A:A,SOCIO!D:D)," ")</f>
        <v>SI</v>
      </c>
      <c r="J33" s="35" t="str">
        <f>IFERROR(LOOKUP(D33,SOCIO!B:B,SOCIO!C:C)," ")</f>
        <v>SI</v>
      </c>
    </row>
    <row r="34" spans="1:10">
      <c r="A34" s="83">
        <f t="shared" si="0"/>
        <v>33</v>
      </c>
      <c r="B34" s="33">
        <v>46035</v>
      </c>
      <c r="C34" s="63">
        <v>2343</v>
      </c>
      <c r="D34" s="97" t="s">
        <v>1649</v>
      </c>
      <c r="E34" s="34">
        <v>1</v>
      </c>
      <c r="F34" s="67" t="str">
        <f>IFERROR(LOOKUP(E34,CODIGOS!A:A,CODIGOS!B:B)," ")</f>
        <v>CUOTA SOCIO</v>
      </c>
      <c r="H34" s="74">
        <v>30</v>
      </c>
      <c r="I34" s="35" t="str">
        <f>IFERROR(LOOKUP(C34,SOCIO!A:A,SOCIO!D:D)," ")</f>
        <v>NO</v>
      </c>
      <c r="J34" s="73" t="s">
        <v>20</v>
      </c>
    </row>
    <row r="35" spans="1:10">
      <c r="A35" s="83">
        <f t="shared" si="0"/>
        <v>34</v>
      </c>
      <c r="B35" s="33">
        <v>46035</v>
      </c>
      <c r="C35" s="63">
        <v>1923</v>
      </c>
      <c r="D35" s="97" t="s">
        <v>1650</v>
      </c>
      <c r="E35" s="34">
        <v>11</v>
      </c>
      <c r="F35" s="67" t="str">
        <f>IFERROR(LOOKUP(E35,CODIGOS!A:A,CODIGOS!B:B)," ")</f>
        <v>OLLA SAN ANTÓN</v>
      </c>
      <c r="H35" s="74">
        <f>IF(J35="SI",IFERROR(LOOKUP(E35,CODIGOS!A:A,CODIGOS!C:C)," "),IFERROR(LOOKUP(E35,CODIGOS!A:A,CODIGOS!D:D),""))</f>
        <v>25</v>
      </c>
      <c r="I35" s="35" t="str">
        <f>IFERROR(LOOKUP(C35,SOCIO!A:A,SOCIO!D:D)," ")</f>
        <v>SI</v>
      </c>
      <c r="J35" s="35" t="str">
        <f>IFERROR(LOOKUP(D35,SOCIO!B:B,SOCIO!C:C)," ")</f>
        <v>SI</v>
      </c>
    </row>
    <row r="36" spans="1:10">
      <c r="A36" s="83">
        <f t="shared" si="0"/>
        <v>35</v>
      </c>
      <c r="B36" s="33">
        <v>46035</v>
      </c>
      <c r="C36" s="63">
        <v>1945</v>
      </c>
      <c r="D36" s="97" t="s">
        <v>1652</v>
      </c>
      <c r="E36" s="34">
        <v>11</v>
      </c>
      <c r="F36" s="67" t="str">
        <f>IFERROR(LOOKUP(E36,CODIGOS!A:A,CODIGOS!B:B)," ")</f>
        <v>OLLA SAN ANTÓN</v>
      </c>
      <c r="H36" s="74">
        <f>IF(J36="SI",IFERROR(LOOKUP(E36,CODIGOS!A:A,CODIGOS!C:C)," "),IFERROR(LOOKUP(E36,CODIGOS!A:A,CODIGOS!D:D),""))</f>
        <v>25</v>
      </c>
      <c r="I36" s="35" t="str">
        <f>IFERROR(LOOKUP(C36,SOCIO!A:A,SOCIO!D:D)," ")</f>
        <v>SI</v>
      </c>
      <c r="J36" s="35" t="str">
        <f>IFERROR(LOOKUP(D36,SOCIO!B:B,SOCIO!C:C)," ")</f>
        <v>SI</v>
      </c>
    </row>
    <row r="37" spans="1:10">
      <c r="A37" s="83">
        <f t="shared" si="0"/>
        <v>36</v>
      </c>
      <c r="B37" s="33">
        <v>46035</v>
      </c>
      <c r="C37" s="63">
        <v>1945</v>
      </c>
      <c r="D37" s="97" t="s">
        <v>1652</v>
      </c>
      <c r="E37" s="34">
        <v>10</v>
      </c>
      <c r="F37" s="67" t="str">
        <f>IFERROR(LOOKUP(E37,CODIGOS!A:A,CODIGOS!B:B)," ")</f>
        <v>ÓRGIVA</v>
      </c>
      <c r="H37" s="74">
        <f>IF(J37="SI",IFERROR(LOOKUP(E37,CODIGOS!A:A,CODIGOS!C:C)," "),IFERROR(LOOKUP(E37,CODIGOS!A:A,CODIGOS!D:D),""))</f>
        <v>22</v>
      </c>
      <c r="I37" s="35" t="str">
        <f>IFERROR(LOOKUP(C37,SOCIO!A:A,SOCIO!D:D)," ")</f>
        <v>SI</v>
      </c>
      <c r="J37" s="35" t="str">
        <f>IFERROR(LOOKUP(D37,SOCIO!B:B,SOCIO!C:C)," ")</f>
        <v>SI</v>
      </c>
    </row>
    <row r="38" spans="1:10">
      <c r="A38" s="83">
        <f t="shared" si="0"/>
        <v>37</v>
      </c>
      <c r="B38" s="33">
        <v>46035</v>
      </c>
      <c r="C38" s="63">
        <v>1923</v>
      </c>
      <c r="D38" s="97" t="s">
        <v>1160</v>
      </c>
      <c r="E38" s="34">
        <v>11</v>
      </c>
      <c r="F38" s="67" t="str">
        <f>IFERROR(LOOKUP(E38,CODIGOS!A:A,CODIGOS!B:B)," ")</f>
        <v>OLLA SAN ANTÓN</v>
      </c>
      <c r="H38" s="74">
        <f>IF(J38="SI",IFERROR(LOOKUP(E38,CODIGOS!A:A,CODIGOS!C:C)," "),IFERROR(LOOKUP(E38,CODIGOS!A:A,CODIGOS!D:D),""))</f>
        <v>25</v>
      </c>
      <c r="I38" s="35" t="str">
        <f>IFERROR(LOOKUP(C38,SOCIO!A:A,SOCIO!D:D)," ")</f>
        <v>SI</v>
      </c>
      <c r="J38" s="35" t="str">
        <f>IFERROR(LOOKUP(D38,SOCIO!B:B,SOCIO!C:C)," ")</f>
        <v>SI</v>
      </c>
    </row>
    <row r="39" spans="1:10">
      <c r="A39" s="83">
        <f t="shared" si="0"/>
        <v>38</v>
      </c>
      <c r="B39" s="33">
        <v>46035</v>
      </c>
      <c r="C39" s="63">
        <v>1923</v>
      </c>
      <c r="D39" s="97" t="s">
        <v>1160</v>
      </c>
      <c r="E39" s="34">
        <v>10</v>
      </c>
      <c r="F39" s="67" t="str">
        <f>IFERROR(LOOKUP(E39,CODIGOS!A:A,CODIGOS!B:B)," ")</f>
        <v>ÓRGIVA</v>
      </c>
      <c r="H39" s="74">
        <f>IF(J39="SI",IFERROR(LOOKUP(E39,CODIGOS!A:A,CODIGOS!C:C)," "),IFERROR(LOOKUP(E39,CODIGOS!A:A,CODIGOS!D:D),""))</f>
        <v>22</v>
      </c>
      <c r="I39" s="35" t="str">
        <f>IFERROR(LOOKUP(C39,SOCIO!A:A,SOCIO!D:D)," ")</f>
        <v>SI</v>
      </c>
      <c r="J39" s="35" t="str">
        <f>IFERROR(LOOKUP(D39,SOCIO!B:B,SOCIO!C:C)," ")</f>
        <v>SI</v>
      </c>
    </row>
    <row r="40" spans="1:10">
      <c r="A40" s="83">
        <f t="shared" si="0"/>
        <v>39</v>
      </c>
      <c r="B40" s="33">
        <v>46035</v>
      </c>
      <c r="C40" s="63">
        <v>2219</v>
      </c>
      <c r="D40" s="97" t="s">
        <v>1651</v>
      </c>
      <c r="E40" s="34">
        <v>1</v>
      </c>
      <c r="F40" s="67" t="str">
        <f>IFERROR(LOOKUP(E40,CODIGOS!A:A,CODIGOS!B:B)," ")</f>
        <v>CUOTA SOCIO</v>
      </c>
      <c r="H40" s="74">
        <f>IF(J40="SI",IFERROR(LOOKUP(E40,CODIGOS!A:A,CODIGOS!C:C)," "),IFERROR(LOOKUP(E40,CODIGOS!A:A,CODIGOS!D:D),""))</f>
        <v>30</v>
      </c>
      <c r="I40" s="35" t="str">
        <f>IFERROR(LOOKUP(C40,SOCIO!A:A,SOCIO!D:D)," ")</f>
        <v>NO</v>
      </c>
      <c r="J40" s="35" t="str">
        <f>IFERROR(LOOKUP(D40,SOCIO!B:B,SOCIO!C:C)," ")</f>
        <v>SI</v>
      </c>
    </row>
    <row r="41" spans="1:10">
      <c r="A41" s="83">
        <f t="shared" si="0"/>
        <v>40</v>
      </c>
      <c r="B41" s="33">
        <v>46035</v>
      </c>
      <c r="C41" s="63">
        <f>IFERROR(LOOKUP(D41,SOCIO!B:B,SOCIO!A:A),"")</f>
        <v>2310</v>
      </c>
      <c r="D41" s="70" t="s">
        <v>1425</v>
      </c>
      <c r="E41" s="62">
        <v>11</v>
      </c>
      <c r="F41" s="67" t="str">
        <f>IFERROR(LOOKUP(E41,CODIGOS!A:A,CODIGOS!B:B)," ")</f>
        <v>OLLA SAN ANTÓN</v>
      </c>
      <c r="H41" s="74">
        <f>IF(J41="SI",IFERROR(LOOKUP(E41,CODIGOS!A:A,CODIGOS!C:C)," "),IFERROR(LOOKUP(E41,CODIGOS!A:A,CODIGOS!D:D),""))</f>
        <v>25</v>
      </c>
      <c r="I41" s="35" t="str">
        <f>IFERROR(LOOKUP(C41,SOCIO!A:A,SOCIO!D:D)," ")</f>
        <v>NO</v>
      </c>
      <c r="J41" s="35" t="str">
        <f>IFERROR(LOOKUP(D41,SOCIO!B:B,SOCIO!C:C)," ")</f>
        <v>SI</v>
      </c>
    </row>
    <row r="42" spans="1:10">
      <c r="A42" s="83">
        <f t="shared" si="0"/>
        <v>41</v>
      </c>
      <c r="B42" s="33">
        <v>46035</v>
      </c>
      <c r="C42" s="63">
        <f>IFERROR(LOOKUP(D42,SOCIO!B:B,SOCIO!A:A),"")</f>
        <v>1433</v>
      </c>
      <c r="D42" s="70" t="s">
        <v>1369</v>
      </c>
      <c r="E42" s="62">
        <v>11</v>
      </c>
      <c r="F42" s="67" t="str">
        <f>IFERROR(LOOKUP(E42,CODIGOS!A:A,CODIGOS!B:B)," ")</f>
        <v>OLLA SAN ANTÓN</v>
      </c>
      <c r="H42" s="74">
        <f>IF(J42="SI",IFERROR(LOOKUP(E42,CODIGOS!A:A,CODIGOS!C:C)," "),IFERROR(LOOKUP(E42,CODIGOS!A:A,CODIGOS!D:D),""))</f>
        <v>25</v>
      </c>
      <c r="I42" s="35" t="str">
        <f>IFERROR(LOOKUP(C42,SOCIO!A:A,SOCIO!D:D)," ")</f>
        <v>NO</v>
      </c>
      <c r="J42" s="35" t="str">
        <f>IFERROR(LOOKUP(D42,SOCIO!B:B,SOCIO!C:C)," ")</f>
        <v>SI</v>
      </c>
    </row>
    <row r="43" spans="1:10">
      <c r="A43" s="83">
        <f t="shared" si="0"/>
        <v>42</v>
      </c>
      <c r="B43" s="33">
        <v>46035</v>
      </c>
      <c r="C43" s="96" t="s">
        <v>319</v>
      </c>
      <c r="D43" s="97" t="s">
        <v>1653</v>
      </c>
      <c r="E43" s="62">
        <v>11</v>
      </c>
      <c r="F43" s="67" t="str">
        <f>IFERROR(LOOKUP(E43,CODIGOS!A:A,CODIGOS!B:B)," ")</f>
        <v>OLLA SAN ANTÓN</v>
      </c>
      <c r="H43" s="74">
        <v>30</v>
      </c>
      <c r="I43" s="35" t="str">
        <f>IFERROR(LOOKUP(C43,SOCIO!A:A,SOCIO!D:D)," ")</f>
        <v xml:space="preserve"> </v>
      </c>
      <c r="J43" s="35" t="str">
        <f>IFERROR(LOOKUP(D43,SOCIO!B:B,SOCIO!C:C)," ")</f>
        <v>SI</v>
      </c>
    </row>
    <row r="44" spans="1:10">
      <c r="A44" s="83">
        <f t="shared" si="0"/>
        <v>43</v>
      </c>
      <c r="B44" s="33">
        <v>46035</v>
      </c>
      <c r="C44" s="63">
        <f>IFERROR(LOOKUP(D44,SOCIO!B:B,SOCIO!A:A),"")</f>
        <v>1433</v>
      </c>
      <c r="D44" s="70" t="s">
        <v>1369</v>
      </c>
      <c r="E44" s="62">
        <v>12</v>
      </c>
      <c r="F44" s="67" t="str">
        <f>IFERROR(LOOKUP(E44,CODIGOS!A:A,CODIGOS!B:B)," ")</f>
        <v>EXPOSICIÓN CATEDRAL</v>
      </c>
      <c r="H44" s="74">
        <f>IF(J44="SI",IFERROR(LOOKUP(E44,CODIGOS!A:A,CODIGOS!C:C)," "),IFERROR(LOOKUP(E44,CODIGOS!A:A,CODIGOS!D:D),""))</f>
        <v>3</v>
      </c>
      <c r="I44" s="35" t="str">
        <f>IFERROR(LOOKUP(C44,SOCIO!A:A,SOCIO!D:D)," ")</f>
        <v>NO</v>
      </c>
      <c r="J44" s="35" t="str">
        <f>IFERROR(LOOKUP(D44,SOCIO!B:B,SOCIO!C:C)," ")</f>
        <v>SI</v>
      </c>
    </row>
    <row r="45" spans="1:10">
      <c r="A45" s="83">
        <f t="shared" si="0"/>
        <v>44</v>
      </c>
      <c r="B45" s="33">
        <v>46035</v>
      </c>
      <c r="C45" s="96" t="s">
        <v>319</v>
      </c>
      <c r="D45" s="97" t="s">
        <v>1653</v>
      </c>
      <c r="E45" s="62">
        <v>12</v>
      </c>
      <c r="F45" s="67" t="str">
        <f>IFERROR(LOOKUP(E45,CODIGOS!A:A,CODIGOS!B:B)," ")</f>
        <v>EXPOSICIÓN CATEDRAL</v>
      </c>
      <c r="H45" s="74">
        <f>IF(J45="SI",IFERROR(LOOKUP(E45,CODIGOS!A:A,CODIGOS!C:C)," "),IFERROR(LOOKUP(E45,CODIGOS!A:A,CODIGOS!D:D),""))</f>
        <v>3</v>
      </c>
      <c r="I45" s="35" t="str">
        <f>IFERROR(LOOKUP(C45,SOCIO!A:A,SOCIO!D:D)," ")</f>
        <v xml:space="preserve"> </v>
      </c>
      <c r="J45" s="35" t="str">
        <f>IFERROR(LOOKUP(D45,SOCIO!B:B,SOCIO!C:C)," ")</f>
        <v>SI</v>
      </c>
    </row>
    <row r="46" spans="1:10">
      <c r="A46" s="83">
        <f t="shared" si="0"/>
        <v>45</v>
      </c>
      <c r="B46" s="33">
        <v>46035</v>
      </c>
      <c r="C46" s="63">
        <f>IFERROR(LOOKUP(D46,SOCIO!B:B,SOCIO!A:A),"")</f>
        <v>2563</v>
      </c>
      <c r="D46" s="70" t="s">
        <v>1447</v>
      </c>
      <c r="E46" s="62">
        <v>11</v>
      </c>
      <c r="F46" s="67" t="str">
        <f>IFERROR(LOOKUP(E46,CODIGOS!A:A,CODIGOS!B:B)," ")</f>
        <v>OLLA SAN ANTÓN</v>
      </c>
      <c r="H46" s="74">
        <f>IF(J46="SI",IFERROR(LOOKUP(E46,CODIGOS!A:A,CODIGOS!C:C)," "),IFERROR(LOOKUP(E46,CODIGOS!A:A,CODIGOS!D:D),""))</f>
        <v>25</v>
      </c>
      <c r="I46" s="35" t="str">
        <f>IFERROR(LOOKUP(C46,SOCIO!A:A,SOCIO!D:D)," ")</f>
        <v>NO</v>
      </c>
      <c r="J46" s="35" t="str">
        <f>IFERROR(LOOKUP(D46,SOCIO!B:B,SOCIO!C:C)," ")</f>
        <v>SI</v>
      </c>
    </row>
    <row r="47" spans="1:10">
      <c r="A47" s="83">
        <f t="shared" si="0"/>
        <v>46</v>
      </c>
      <c r="B47" s="33">
        <v>46035</v>
      </c>
      <c r="C47" s="63">
        <f>IFERROR(LOOKUP(D47,SOCIO!B:B,SOCIO!A:A),"")</f>
        <v>3154</v>
      </c>
      <c r="D47" s="97" t="s">
        <v>1654</v>
      </c>
      <c r="E47" s="62">
        <v>2</v>
      </c>
      <c r="F47" s="67" t="str">
        <f>IFERROR(LOOKUP(E47,CODIGOS!A:A,CODIGOS!B:B)," ")</f>
        <v>CUOTA NUEVO SOCIO</v>
      </c>
      <c r="H47" s="74">
        <v>30</v>
      </c>
      <c r="I47" s="35" t="str">
        <f>IFERROR(LOOKUP(C47,SOCIO!A:A,SOCIO!D:D)," ")</f>
        <v>SI</v>
      </c>
      <c r="J47" s="73" t="s">
        <v>11</v>
      </c>
    </row>
    <row r="48" spans="1:10">
      <c r="A48" s="83">
        <f t="shared" si="0"/>
        <v>47</v>
      </c>
      <c r="B48" s="33">
        <v>46035</v>
      </c>
      <c r="C48" s="63">
        <f>IFERROR(LOOKUP(D48,SOCIO!B:B,SOCIO!A:A),"")</f>
        <v>3155</v>
      </c>
      <c r="D48" s="97" t="s">
        <v>1655</v>
      </c>
      <c r="E48" s="62">
        <v>2</v>
      </c>
      <c r="F48" s="67" t="str">
        <f>IFERROR(LOOKUP(E48,CODIGOS!A:A,CODIGOS!B:B)," ")</f>
        <v>CUOTA NUEVO SOCIO</v>
      </c>
      <c r="H48" s="74">
        <v>30</v>
      </c>
      <c r="I48" s="35" t="str">
        <f>IFERROR(LOOKUP(C48,SOCIO!A:A,SOCIO!D:D)," ")</f>
        <v>SI</v>
      </c>
      <c r="J48" s="73" t="s">
        <v>11</v>
      </c>
    </row>
    <row r="49" spans="1:10">
      <c r="A49" s="83">
        <f t="shared" si="0"/>
        <v>48</v>
      </c>
      <c r="B49" s="33">
        <v>46036</v>
      </c>
      <c r="C49" s="63">
        <f>IFERROR(LOOKUP(D49,SOCIO!B:B,SOCIO!A:A),"")</f>
        <v>2596</v>
      </c>
      <c r="D49" s="70" t="s">
        <v>1323</v>
      </c>
      <c r="E49" s="34">
        <v>11</v>
      </c>
      <c r="F49" s="67" t="str">
        <f>IFERROR(LOOKUP(E49,CODIGOS!A:A,CODIGOS!B:B)," ")</f>
        <v>OLLA SAN ANTÓN</v>
      </c>
      <c r="H49" s="74">
        <v>25</v>
      </c>
      <c r="I49" s="35" t="str">
        <f>IFERROR(LOOKUP(C49,SOCIO!A:A,SOCIO!D:D)," ")</f>
        <v>NO</v>
      </c>
      <c r="J49" s="35" t="str">
        <f>IFERROR(LOOKUP(D49,SOCIO!B:B,SOCIO!C:C)," ")</f>
        <v>SI</v>
      </c>
    </row>
    <row r="50" spans="1:10">
      <c r="A50" s="83">
        <f t="shared" si="0"/>
        <v>49</v>
      </c>
      <c r="B50" s="33">
        <v>46036</v>
      </c>
      <c r="C50" s="63">
        <f>IFERROR(LOOKUP(D50,SOCIO!B:B,SOCIO!A:A),"")</f>
        <v>2930</v>
      </c>
      <c r="D50" s="70" t="s">
        <v>1600</v>
      </c>
      <c r="E50" s="34">
        <v>4</v>
      </c>
      <c r="F50" s="67" t="str">
        <f>IFERROR(LOOKUP(E50,CODIGOS!A:A,CODIGOS!B:B)," ")</f>
        <v>DEVOLUCION</v>
      </c>
      <c r="H50" s="74">
        <v>-45</v>
      </c>
      <c r="I50" s="35" t="str">
        <f>IFERROR(LOOKUP(C50,SOCIO!A:A,SOCIO!D:D)," ")</f>
        <v>SI</v>
      </c>
      <c r="J50" s="35" t="str">
        <f>IFERROR(LOOKUP(D50,SOCIO!B:B,SOCIO!C:C)," ")</f>
        <v>SI</v>
      </c>
    </row>
    <row r="51" spans="1:10">
      <c r="A51" s="83">
        <f t="shared" si="0"/>
        <v>50</v>
      </c>
      <c r="B51" s="33">
        <v>46036</v>
      </c>
      <c r="C51" s="63">
        <f>IFERROR(LOOKUP(D51,SOCIO!B:B,SOCIO!A:A),"")</f>
        <v>1920</v>
      </c>
      <c r="D51" s="70" t="s">
        <v>1236</v>
      </c>
      <c r="E51" s="34">
        <v>4</v>
      </c>
      <c r="F51" s="67" t="str">
        <f>IFERROR(LOOKUP(E51,CODIGOS!A:A,CODIGOS!B:B)," ")</f>
        <v>DEVOLUCION</v>
      </c>
      <c r="H51" s="74">
        <v>-22</v>
      </c>
      <c r="I51" s="35" t="str">
        <f>IFERROR(LOOKUP(C51,SOCIO!A:A,SOCIO!D:D)," ")</f>
        <v>SI</v>
      </c>
      <c r="J51" s="35" t="str">
        <f>IFERROR(LOOKUP(D51,SOCIO!B:B,SOCIO!C:C)," ")</f>
        <v>SI</v>
      </c>
    </row>
    <row r="52" spans="1:10">
      <c r="A52" s="83">
        <f t="shared" si="0"/>
        <v>51</v>
      </c>
      <c r="B52" s="33">
        <v>46041</v>
      </c>
      <c r="C52" s="63">
        <v>2456</v>
      </c>
      <c r="D52" s="70" t="s">
        <v>1414</v>
      </c>
      <c r="E52" s="34">
        <v>13</v>
      </c>
      <c r="F52" s="67" t="str">
        <f>IFERROR(LOOKUP(E52,CODIGOS!A:A,CODIGOS!B:B)," ")</f>
        <v>ENSAYO ORQUESTA</v>
      </c>
      <c r="H52" s="74">
        <f>IF(J52="SI",IFERROR(LOOKUP(E52,CODIGOS!A:A,CODIGOS!C:C)," "),IFERROR(LOOKUP(E52,CODIGOS!A:A,CODIGOS!D:D),""))</f>
        <v>0</v>
      </c>
      <c r="I52" s="35" t="str">
        <f>IFERROR(LOOKUP(C52,SOCIO!A:A,SOCIO!D:D)," ")</f>
        <v>SI</v>
      </c>
      <c r="J52" s="35" t="str">
        <f>IFERROR(LOOKUP(D52,SOCIO!B:B,SOCIO!C:C)," ")</f>
        <v>SI</v>
      </c>
    </row>
    <row r="53" spans="1:10">
      <c r="A53" s="83">
        <f t="shared" si="0"/>
        <v>52</v>
      </c>
      <c r="B53" s="33">
        <v>46041</v>
      </c>
      <c r="C53" s="63">
        <f>IFERROR(LOOKUP(D53,SOCIO!B:B,SOCIO!A:A),"")</f>
        <v>2414</v>
      </c>
      <c r="D53" s="70" t="s">
        <v>1208</v>
      </c>
      <c r="E53" s="34">
        <v>13</v>
      </c>
      <c r="F53" s="67" t="str">
        <f>IFERROR(LOOKUP(E53,CODIGOS!A:A,CODIGOS!B:B)," ")</f>
        <v>ENSAYO ORQUESTA</v>
      </c>
      <c r="H53" s="74">
        <f>IF(J53="SI",IFERROR(LOOKUP(E53,CODIGOS!A:A,CODIGOS!C:C)," "),IFERROR(LOOKUP(E53,CODIGOS!A:A,CODIGOS!D:D),""))</f>
        <v>0</v>
      </c>
      <c r="I53" s="35" t="str">
        <f>IFERROR(LOOKUP(C53,SOCIO!A:A,SOCIO!D:D)," ")</f>
        <v>SI</v>
      </c>
      <c r="J53" s="35" t="str">
        <f>IFERROR(LOOKUP(D53,SOCIO!B:B,SOCIO!C:C)," ")</f>
        <v>SI</v>
      </c>
    </row>
    <row r="54" spans="1:10">
      <c r="A54" s="83">
        <f t="shared" si="0"/>
        <v>53</v>
      </c>
      <c r="B54" s="33">
        <v>46042</v>
      </c>
      <c r="C54" s="63">
        <f>IFERROR(LOOKUP(D54,SOCIO!B:B,SOCIO!A:A),"")</f>
        <v>2004</v>
      </c>
      <c r="D54" s="70" t="s">
        <v>144</v>
      </c>
      <c r="E54" s="34">
        <v>11</v>
      </c>
      <c r="F54" s="67" t="str">
        <f>IFERROR(LOOKUP(E54,CODIGOS!A:A,CODIGOS!B:B)," ")</f>
        <v>OLLA SAN ANTÓN</v>
      </c>
      <c r="H54" s="74">
        <f>IF(J54="SI",IFERROR(LOOKUP(E54,CODIGOS!A:A,CODIGOS!C:C)," "),IFERROR(LOOKUP(E54,CODIGOS!A:A,CODIGOS!D:D),""))</f>
        <v>25</v>
      </c>
      <c r="I54" s="35" t="str">
        <f>IFERROR(LOOKUP(C54,SOCIO!A:A,SOCIO!D:D)," ")</f>
        <v>SI</v>
      </c>
      <c r="J54" s="35" t="str">
        <f>IFERROR(LOOKUP(D54,SOCIO!B:B,SOCIO!C:C)," ")</f>
        <v>SI</v>
      </c>
    </row>
    <row r="55" spans="1:10">
      <c r="A55" s="83">
        <f t="shared" si="0"/>
        <v>54</v>
      </c>
      <c r="B55" s="33">
        <v>46042</v>
      </c>
      <c r="C55" s="63">
        <f>IFERROR(LOOKUP(D55,SOCIO!B:B,SOCIO!A:A),"")</f>
        <v>2003</v>
      </c>
      <c r="D55" s="70" t="s">
        <v>145</v>
      </c>
      <c r="E55" s="34">
        <v>11</v>
      </c>
      <c r="F55" s="67" t="str">
        <f>IFERROR(LOOKUP(E55,CODIGOS!A:A,CODIGOS!B:B)," ")</f>
        <v>OLLA SAN ANTÓN</v>
      </c>
      <c r="H55" s="74">
        <f>IF(J55="SI",IFERROR(LOOKUP(E55,CODIGOS!A:A,CODIGOS!C:C)," "),IFERROR(LOOKUP(E55,CODIGOS!A:A,CODIGOS!D:D),""))</f>
        <v>25</v>
      </c>
      <c r="I55" s="35" t="str">
        <f>IFERROR(LOOKUP(C55,SOCIO!A:A,SOCIO!D:D)," ")</f>
        <v>SI</v>
      </c>
      <c r="J55" s="35" t="str">
        <f>IFERROR(LOOKUP(D55,SOCIO!B:B,SOCIO!C:C)," ")</f>
        <v>SI</v>
      </c>
    </row>
    <row r="56" spans="1:10">
      <c r="A56" s="83">
        <f t="shared" si="0"/>
        <v>55</v>
      </c>
      <c r="B56" s="33">
        <v>46042</v>
      </c>
      <c r="C56" s="63">
        <f>IFERROR(LOOKUP(D56,SOCIO!B:B,SOCIO!A:A),"")</f>
        <v>2084</v>
      </c>
      <c r="D56" s="70" t="s">
        <v>1458</v>
      </c>
      <c r="E56" s="34">
        <v>11</v>
      </c>
      <c r="F56" s="67" t="str">
        <f>IFERROR(LOOKUP(E56,CODIGOS!A:A,CODIGOS!B:B)," ")</f>
        <v>OLLA SAN ANTÓN</v>
      </c>
      <c r="H56" s="74">
        <f>IF(J56="SI",IFERROR(LOOKUP(E56,CODIGOS!A:A,CODIGOS!C:C)," "),IFERROR(LOOKUP(E56,CODIGOS!A:A,CODIGOS!D:D),""))</f>
        <v>25</v>
      </c>
      <c r="I56" s="35" t="str">
        <f>IFERROR(LOOKUP(C56,SOCIO!A:A,SOCIO!D:D)," ")</f>
        <v>SI</v>
      </c>
      <c r="J56" s="35" t="str">
        <f>IFERROR(LOOKUP(D56,SOCIO!B:B,SOCIO!C:C)," ")</f>
        <v>SI</v>
      </c>
    </row>
    <row r="57" spans="1:10">
      <c r="A57" s="83">
        <f t="shared" si="0"/>
        <v>56</v>
      </c>
      <c r="B57" s="33">
        <v>46042</v>
      </c>
      <c r="C57" s="63">
        <f>IFERROR(LOOKUP(D57,SOCIO!B:B,SOCIO!A:A),"")</f>
        <v>1930</v>
      </c>
      <c r="D57" s="97" t="s">
        <v>1162</v>
      </c>
      <c r="E57" s="34">
        <v>10</v>
      </c>
      <c r="F57" s="67" t="str">
        <f>IFERROR(LOOKUP(E57,CODIGOS!A:A,CODIGOS!B:B)," ")</f>
        <v>ÓRGIVA</v>
      </c>
      <c r="H57" s="74">
        <f>IF(J57="SI",IFERROR(LOOKUP(E57,CODIGOS!A:A,CODIGOS!C:C)," "),IFERROR(LOOKUP(E57,CODIGOS!A:A,CODIGOS!D:D),""))</f>
        <v>22</v>
      </c>
      <c r="I57" s="35" t="str">
        <f>IFERROR(LOOKUP(C57,SOCIO!A:A,SOCIO!D:D)," ")</f>
        <v>SI</v>
      </c>
      <c r="J57" s="35" t="str">
        <f>IFERROR(LOOKUP(D57,SOCIO!B:B,SOCIO!C:C)," ")</f>
        <v>SI</v>
      </c>
    </row>
    <row r="58" spans="1:10">
      <c r="A58" s="83">
        <f t="shared" si="0"/>
        <v>57</v>
      </c>
      <c r="B58" s="33">
        <v>46042</v>
      </c>
      <c r="C58" s="63">
        <f>IFERROR(LOOKUP(D58,SOCIO!B:B,SOCIO!A:A),"")</f>
        <v>2004</v>
      </c>
      <c r="D58" s="70" t="s">
        <v>144</v>
      </c>
      <c r="E58" s="34">
        <v>10</v>
      </c>
      <c r="F58" s="67" t="str">
        <f>IFERROR(LOOKUP(E58,CODIGOS!A:A,CODIGOS!B:B)," ")</f>
        <v>ÓRGIVA</v>
      </c>
      <c r="H58" s="74">
        <f>IF(J58="SI",IFERROR(LOOKUP(E58,CODIGOS!A:A,CODIGOS!C:C)," "),IFERROR(LOOKUP(E58,CODIGOS!A:A,CODIGOS!D:D),""))</f>
        <v>22</v>
      </c>
      <c r="I58" s="35" t="str">
        <f>IFERROR(LOOKUP(C58,SOCIO!A:A,SOCIO!D:D)," ")</f>
        <v>SI</v>
      </c>
      <c r="J58" s="35" t="str">
        <f>IFERROR(LOOKUP(D58,SOCIO!B:B,SOCIO!C:C)," ")</f>
        <v>SI</v>
      </c>
    </row>
    <row r="59" spans="1:10">
      <c r="A59" s="83">
        <f t="shared" si="0"/>
        <v>58</v>
      </c>
      <c r="B59" s="33">
        <v>46042</v>
      </c>
      <c r="C59" s="63">
        <f>IFERROR(LOOKUP(D59,SOCIO!B:B,SOCIO!A:A),"")</f>
        <v>2003</v>
      </c>
      <c r="D59" s="70" t="s">
        <v>145</v>
      </c>
      <c r="E59" s="34">
        <v>10</v>
      </c>
      <c r="F59" s="67" t="str">
        <f>IFERROR(LOOKUP(E59,CODIGOS!A:A,CODIGOS!B:B)," ")</f>
        <v>ÓRGIVA</v>
      </c>
      <c r="H59" s="74">
        <f>IF(J59="SI",IFERROR(LOOKUP(E59,CODIGOS!A:A,CODIGOS!C:C)," "),IFERROR(LOOKUP(E59,CODIGOS!A:A,CODIGOS!D:D),""))</f>
        <v>22</v>
      </c>
      <c r="I59" s="35" t="str">
        <f>IFERROR(LOOKUP(C59,SOCIO!A:A,SOCIO!D:D)," ")</f>
        <v>SI</v>
      </c>
      <c r="J59" s="35" t="str">
        <f>IFERROR(LOOKUP(D59,SOCIO!B:B,SOCIO!C:C)," ")</f>
        <v>SI</v>
      </c>
    </row>
    <row r="60" spans="1:10">
      <c r="A60" s="83">
        <f t="shared" si="0"/>
        <v>59</v>
      </c>
      <c r="B60" s="33">
        <v>46042</v>
      </c>
      <c r="C60" s="63">
        <f>IFERROR(LOOKUP(D60,SOCIO!B:B,SOCIO!A:A),"")</f>
        <v>3140</v>
      </c>
      <c r="D60" s="70" t="s">
        <v>1449</v>
      </c>
      <c r="E60" s="34">
        <v>14</v>
      </c>
      <c r="F60" s="67" t="str">
        <f>IFERROR(LOOKUP(E60,CODIGOS!A:A,CODIGOS!B:B)," ")</f>
        <v>BASÍLICA DE SAN JUAN DE DIOS</v>
      </c>
      <c r="H60" s="74">
        <f>IF(J60="SI",IFERROR(LOOKUP(E60,CODIGOS!A:A,CODIGOS!C:C)," "),IFERROR(LOOKUP(E60,CODIGOS!A:A,CODIGOS!D:D),""))</f>
        <v>5</v>
      </c>
      <c r="I60" s="35" t="str">
        <f>IFERROR(LOOKUP(C60,SOCIO!A:A,SOCIO!D:D)," ")</f>
        <v>SI</v>
      </c>
      <c r="J60" s="35" t="str">
        <f>IFERROR(LOOKUP(D60,SOCIO!B:B,SOCIO!C:C)," ")</f>
        <v>SI</v>
      </c>
    </row>
    <row r="61" spans="1:10">
      <c r="A61" s="83">
        <f t="shared" si="0"/>
        <v>60</v>
      </c>
      <c r="B61" s="33">
        <v>46042</v>
      </c>
      <c r="C61" s="63">
        <f>IFERROR(LOOKUP(D61,SOCIO!B:B,SOCIO!A:A),"")</f>
        <v>1030</v>
      </c>
      <c r="D61" s="70" t="s">
        <v>1088</v>
      </c>
      <c r="E61" s="34">
        <v>10</v>
      </c>
      <c r="F61" s="67" t="str">
        <f>IFERROR(LOOKUP(E61,CODIGOS!A:A,CODIGOS!B:B)," ")</f>
        <v>ÓRGIVA</v>
      </c>
      <c r="H61" s="74">
        <f>IF(J61="SI",IFERROR(LOOKUP(E61,CODIGOS!A:A,CODIGOS!C:C)," "),IFERROR(LOOKUP(E61,CODIGOS!A:A,CODIGOS!D:D),""))</f>
        <v>22</v>
      </c>
      <c r="I61" s="35" t="str">
        <f>IFERROR(LOOKUP(C61,SOCIO!A:A,SOCIO!D:D)," ")</f>
        <v>NO</v>
      </c>
      <c r="J61" s="35" t="str">
        <f>IFERROR(LOOKUP(D61,SOCIO!B:B,SOCIO!C:C)," ")</f>
        <v>SI</v>
      </c>
    </row>
    <row r="62" spans="1:10">
      <c r="A62" s="83">
        <f t="shared" si="0"/>
        <v>61</v>
      </c>
      <c r="B62" s="33">
        <v>46042</v>
      </c>
      <c r="C62" s="63">
        <f>IFERROR(LOOKUP(D62,SOCIO!B:B,SOCIO!A:A),"")</f>
        <v>1581</v>
      </c>
      <c r="D62" s="70" t="s">
        <v>1188</v>
      </c>
      <c r="E62" s="34">
        <v>10</v>
      </c>
      <c r="F62" s="67" t="str">
        <f>IFERROR(LOOKUP(E62,CODIGOS!A:A,CODIGOS!B:B)," ")</f>
        <v>ÓRGIVA</v>
      </c>
      <c r="H62" s="74">
        <f>IF(J62="SI",IFERROR(LOOKUP(E62,CODIGOS!A:A,CODIGOS!C:C)," "),IFERROR(LOOKUP(E62,CODIGOS!A:A,CODIGOS!D:D),""))</f>
        <v>22</v>
      </c>
      <c r="I62" s="35" t="str">
        <f>IFERROR(LOOKUP(C62,SOCIO!A:A,SOCIO!D:D)," ")</f>
        <v>NO</v>
      </c>
      <c r="J62" s="35" t="str">
        <f>IFERROR(LOOKUP(D62,SOCIO!B:B,SOCIO!C:C)," ")</f>
        <v>SI</v>
      </c>
    </row>
    <row r="63" spans="1:10">
      <c r="A63" s="83">
        <f t="shared" si="0"/>
        <v>62</v>
      </c>
      <c r="B63" s="33">
        <v>46042</v>
      </c>
      <c r="C63" s="63">
        <f>IFERROR(LOOKUP(D63,SOCIO!B:B,SOCIO!A:A),"")</f>
        <v>3004</v>
      </c>
      <c r="D63" s="70" t="s">
        <v>1483</v>
      </c>
      <c r="E63" s="34">
        <v>14</v>
      </c>
      <c r="F63" s="67" t="str">
        <f>IFERROR(LOOKUP(E63,CODIGOS!A:A,CODIGOS!B:B)," ")</f>
        <v>BASÍLICA DE SAN JUAN DE DIOS</v>
      </c>
      <c r="H63" s="74">
        <f>IF(J63="SI",IFERROR(LOOKUP(E63,CODIGOS!A:A,CODIGOS!C:C)," "),IFERROR(LOOKUP(E63,CODIGOS!A:A,CODIGOS!D:D),""))</f>
        <v>5</v>
      </c>
      <c r="I63" s="35" t="str">
        <f>IFERROR(LOOKUP(C63,SOCIO!A:A,SOCIO!D:D)," ")</f>
        <v>SI</v>
      </c>
      <c r="J63" s="35" t="str">
        <f>IFERROR(LOOKUP(D63,SOCIO!B:B,SOCIO!C:C)," ")</f>
        <v>SI</v>
      </c>
    </row>
    <row r="64" spans="1:10">
      <c r="A64" s="83">
        <f t="shared" si="0"/>
        <v>63</v>
      </c>
      <c r="B64" s="33">
        <v>46043</v>
      </c>
      <c r="C64" s="63">
        <f>IFERROR(LOOKUP(D64,SOCIO!B:B,SOCIO!A:A),"")</f>
        <v>1930</v>
      </c>
      <c r="D64" s="70" t="s">
        <v>1162</v>
      </c>
      <c r="E64" s="34">
        <v>14</v>
      </c>
      <c r="F64" s="67" t="str">
        <f>IFERROR(LOOKUP(E64,CODIGOS!A:A,CODIGOS!B:B)," ")</f>
        <v>BASÍLICA DE SAN JUAN DE DIOS</v>
      </c>
      <c r="H64" s="74">
        <f>IF(J64="SI",IFERROR(LOOKUP(E64,CODIGOS!A:A,CODIGOS!C:C)," "),IFERROR(LOOKUP(E64,CODIGOS!A:A,CODIGOS!D:D),""))</f>
        <v>5</v>
      </c>
      <c r="I64" s="35" t="str">
        <f>IFERROR(LOOKUP(C64,SOCIO!A:A,SOCIO!D:D)," ")</f>
        <v>SI</v>
      </c>
      <c r="J64" s="35" t="str">
        <f>IFERROR(LOOKUP(D64,SOCIO!B:B,SOCIO!C:C)," ")</f>
        <v>SI</v>
      </c>
    </row>
    <row r="65" spans="1:10">
      <c r="A65" s="83">
        <f t="shared" si="0"/>
        <v>64</v>
      </c>
      <c r="B65" s="33">
        <v>46043</v>
      </c>
      <c r="C65" s="63">
        <f>IFERROR(LOOKUP(D65,SOCIO!B:B,SOCIO!A:A),"")</f>
        <v>1930</v>
      </c>
      <c r="D65" s="70" t="s">
        <v>1162</v>
      </c>
      <c r="E65" s="34">
        <v>15</v>
      </c>
      <c r="F65" s="67" t="str">
        <f>IFERROR(LOOKUP(E65,CODIGOS!A:A,CODIGOS!B:B)," ")</f>
        <v>MUSEO SAN JUAN DE DIOS CP</v>
      </c>
      <c r="H65" s="74">
        <f>IF(J65="SI",IFERROR(LOOKUP(E65,CODIGOS!A:A,CODIGOS!C:C)," "),IFERROR(LOOKUP(E65,CODIGOS!A:A,CODIGOS!D:D),""))</f>
        <v>5</v>
      </c>
      <c r="I65" s="35" t="str">
        <f>IFERROR(LOOKUP(C65,SOCIO!A:A,SOCIO!D:D)," ")</f>
        <v>SI</v>
      </c>
      <c r="J65" s="35" t="str">
        <f>IFERROR(LOOKUP(D65,SOCIO!B:B,SOCIO!C:C)," ")</f>
        <v>SI</v>
      </c>
    </row>
    <row r="66" spans="1:10">
      <c r="A66" s="83">
        <f t="shared" si="0"/>
        <v>65</v>
      </c>
      <c r="B66" s="33">
        <v>46043</v>
      </c>
      <c r="C66" s="63">
        <f>IFERROR(LOOKUP(D66,SOCIO!B:B,SOCIO!A:A),"")</f>
        <v>2004</v>
      </c>
      <c r="D66" s="97" t="s">
        <v>144</v>
      </c>
      <c r="E66" s="34">
        <v>14</v>
      </c>
      <c r="F66" s="67" t="str">
        <f>IFERROR(LOOKUP(E66,CODIGOS!A:A,CODIGOS!B:B)," ")</f>
        <v>BASÍLICA DE SAN JUAN DE DIOS</v>
      </c>
      <c r="H66" s="74">
        <f>IF(J66="SI",IFERROR(LOOKUP(E66,CODIGOS!A:A,CODIGOS!C:C)," "),IFERROR(LOOKUP(E66,CODIGOS!A:A,CODIGOS!D:D),""))</f>
        <v>5</v>
      </c>
      <c r="I66" s="35" t="str">
        <f>IFERROR(LOOKUP(C66,SOCIO!A:A,SOCIO!D:D)," ")</f>
        <v>SI</v>
      </c>
      <c r="J66" s="35" t="str">
        <f>IFERROR(LOOKUP(D66,SOCIO!B:B,SOCIO!C:C)," ")</f>
        <v>SI</v>
      </c>
    </row>
    <row r="67" spans="1:10">
      <c r="A67" s="83">
        <f t="shared" ref="A67:A129" si="1">IF(B67&lt;&gt;0,A66+1," ")</f>
        <v>66</v>
      </c>
      <c r="B67" s="33">
        <v>46043</v>
      </c>
      <c r="C67" s="63">
        <f>IFERROR(LOOKUP(D67,SOCIO!B:B,SOCIO!A:A),"")</f>
        <v>2003</v>
      </c>
      <c r="D67" s="97" t="s">
        <v>145</v>
      </c>
      <c r="E67" s="34">
        <v>14</v>
      </c>
      <c r="F67" s="67" t="str">
        <f>IFERROR(LOOKUP(E67,CODIGOS!A:A,CODIGOS!B:B)," ")</f>
        <v>BASÍLICA DE SAN JUAN DE DIOS</v>
      </c>
      <c r="H67" s="74">
        <f>IF(J67="SI",IFERROR(LOOKUP(E67,CODIGOS!A:A,CODIGOS!C:C)," "),IFERROR(LOOKUP(E67,CODIGOS!A:A,CODIGOS!D:D),""))</f>
        <v>5</v>
      </c>
      <c r="I67" s="35" t="str">
        <f>IFERROR(LOOKUP(C67,SOCIO!A:A,SOCIO!D:D)," ")</f>
        <v>SI</v>
      </c>
      <c r="J67" s="35" t="str">
        <f>IFERROR(LOOKUP(D67,SOCIO!B:B,SOCIO!C:C)," ")</f>
        <v>SI</v>
      </c>
    </row>
    <row r="68" spans="1:10">
      <c r="A68" s="83">
        <f t="shared" si="1"/>
        <v>67</v>
      </c>
      <c r="B68" s="33">
        <v>46043</v>
      </c>
      <c r="C68" s="63">
        <v>2969</v>
      </c>
      <c r="D68" s="97" t="s">
        <v>1660</v>
      </c>
      <c r="E68" s="34">
        <v>15</v>
      </c>
      <c r="F68" s="67" t="str">
        <f>IFERROR(LOOKUP(E68,CODIGOS!A:A,CODIGOS!B:B)," ")</f>
        <v>MUSEO SAN JUAN DE DIOS CP</v>
      </c>
      <c r="H68" s="74">
        <v>5</v>
      </c>
      <c r="I68" s="35" t="str">
        <f>IFERROR(LOOKUP(C68,SOCIO!A:A,SOCIO!D:D)," ")</f>
        <v>SI</v>
      </c>
      <c r="J68" s="73" t="s">
        <v>11</v>
      </c>
    </row>
    <row r="69" spans="1:10">
      <c r="A69" s="83">
        <f t="shared" si="1"/>
        <v>68</v>
      </c>
      <c r="B69" s="33">
        <v>46043</v>
      </c>
      <c r="C69" s="63">
        <v>3108</v>
      </c>
      <c r="D69" s="97" t="s">
        <v>1662</v>
      </c>
      <c r="E69" s="34">
        <v>14</v>
      </c>
      <c r="F69" s="67" t="str">
        <f>IFERROR(LOOKUP(E69,CODIGOS!A:A,CODIGOS!B:B)," ")</f>
        <v>BASÍLICA DE SAN JUAN DE DIOS</v>
      </c>
      <c r="H69" s="74">
        <f>IF(J69="SI",IFERROR(LOOKUP(E69,CODIGOS!A:A,CODIGOS!C:C)," "),IFERROR(LOOKUP(E69,CODIGOS!A:A,CODIGOS!D:D),""))</f>
        <v>5</v>
      </c>
      <c r="I69" s="35" t="str">
        <f>IFERROR(LOOKUP(C69,SOCIO!A:A,SOCIO!D:D)," ")</f>
        <v>SI</v>
      </c>
      <c r="J69" s="35" t="str">
        <f>IFERROR(LOOKUP(D69,SOCIO!B:B,SOCIO!C:C)," ")</f>
        <v>SI</v>
      </c>
    </row>
    <row r="70" spans="1:10">
      <c r="A70" s="83">
        <f t="shared" si="1"/>
        <v>69</v>
      </c>
      <c r="B70" s="33">
        <v>46043</v>
      </c>
      <c r="C70" s="63">
        <v>3108</v>
      </c>
      <c r="D70" s="97" t="s">
        <v>1662</v>
      </c>
      <c r="E70" s="34">
        <v>15</v>
      </c>
      <c r="F70" s="67" t="str">
        <f>IFERROR(LOOKUP(E70,CODIGOS!A:A,CODIGOS!B:B)," ")</f>
        <v>MUSEO SAN JUAN DE DIOS CP</v>
      </c>
      <c r="H70" s="74">
        <f>IF(J70="SI",IFERROR(LOOKUP(E70,CODIGOS!A:A,CODIGOS!C:C)," "),IFERROR(LOOKUP(E70,CODIGOS!A:A,CODIGOS!D:D),""))</f>
        <v>5</v>
      </c>
      <c r="I70" s="35" t="str">
        <f>IFERROR(LOOKUP(C70,SOCIO!A:A,SOCIO!D:D)," ")</f>
        <v>SI</v>
      </c>
      <c r="J70" s="35" t="str">
        <f>IFERROR(LOOKUP(D70,SOCIO!B:B,SOCIO!C:C)," ")</f>
        <v>SI</v>
      </c>
    </row>
    <row r="71" spans="1:10">
      <c r="A71" s="83">
        <f t="shared" si="1"/>
        <v>70</v>
      </c>
      <c r="B71" s="33">
        <v>46043</v>
      </c>
      <c r="C71" s="63">
        <v>2913</v>
      </c>
      <c r="D71" s="97" t="s">
        <v>1661</v>
      </c>
      <c r="E71" s="34">
        <v>2</v>
      </c>
      <c r="F71" s="67" t="str">
        <f>IFERROR(LOOKUP(E71,CODIGOS!A:A,CODIGOS!B:B)," ")</f>
        <v>CUOTA NUEVO SOCIO</v>
      </c>
      <c r="H71" s="74">
        <f>IF(J71="SI",IFERROR(LOOKUP(E71,CODIGOS!A:A,CODIGOS!C:C)," "),IFERROR(LOOKUP(E71,CODIGOS!A:A,CODIGOS!D:D),""))</f>
        <v>30</v>
      </c>
      <c r="I71" s="35" t="str">
        <f>IFERROR(LOOKUP(C71,SOCIO!A:A,SOCIO!D:D)," ")</f>
        <v>SI</v>
      </c>
      <c r="J71" s="35" t="str">
        <f>IFERROR(LOOKUP(D71,SOCIO!B:B,SOCIO!C:C)," ")</f>
        <v>SI</v>
      </c>
    </row>
    <row r="72" spans="1:10">
      <c r="A72" s="83">
        <f t="shared" si="1"/>
        <v>71</v>
      </c>
      <c r="B72" s="33">
        <v>46043</v>
      </c>
      <c r="C72" s="63">
        <f>IFERROR(LOOKUP(D72,SOCIO!B:B,SOCIO!A:A),"")</f>
        <v>1823</v>
      </c>
      <c r="D72" s="70" t="s">
        <v>1147</v>
      </c>
      <c r="E72" s="34">
        <v>10</v>
      </c>
      <c r="F72" s="67" t="str">
        <f>IFERROR(LOOKUP(E72,CODIGOS!A:A,CODIGOS!B:B)," ")</f>
        <v>ÓRGIVA</v>
      </c>
      <c r="H72" s="74">
        <f>IF(J72="SI",IFERROR(LOOKUP(E72,CODIGOS!A:A,CODIGOS!C:C)," "),IFERROR(LOOKUP(E72,CODIGOS!A:A,CODIGOS!D:D),""))</f>
        <v>22</v>
      </c>
      <c r="I72" s="35" t="str">
        <f>IFERROR(LOOKUP(C72,SOCIO!A:A,SOCIO!D:D)," ")</f>
        <v>SI</v>
      </c>
      <c r="J72" s="35" t="str">
        <f>IFERROR(LOOKUP(D72,SOCIO!B:B,SOCIO!C:C)," ")</f>
        <v>SI</v>
      </c>
    </row>
    <row r="73" spans="1:10">
      <c r="A73" s="83">
        <f t="shared" si="1"/>
        <v>72</v>
      </c>
      <c r="B73" s="33">
        <v>46043</v>
      </c>
      <c r="C73" s="63">
        <f>IFERROR(LOOKUP(D73,SOCIO!B:B,SOCIO!A:A),"")</f>
        <v>1920</v>
      </c>
      <c r="D73" s="70" t="s">
        <v>1236</v>
      </c>
      <c r="E73" s="34">
        <v>11</v>
      </c>
      <c r="F73" s="67" t="str">
        <f>IFERROR(LOOKUP(E73,CODIGOS!A:A,CODIGOS!B:B)," ")</f>
        <v>OLLA SAN ANTÓN</v>
      </c>
      <c r="H73" s="74">
        <f>IF(J73="SI",IFERROR(LOOKUP(E73,CODIGOS!A:A,CODIGOS!C:C)," "),IFERROR(LOOKUP(E73,CODIGOS!A:A,CODIGOS!D:D),""))</f>
        <v>25</v>
      </c>
      <c r="I73" s="35" t="str">
        <f>IFERROR(LOOKUP(C73,SOCIO!A:A,SOCIO!D:D)," ")</f>
        <v>SI</v>
      </c>
      <c r="J73" s="35" t="str">
        <f>IFERROR(LOOKUP(D73,SOCIO!B:B,SOCIO!C:C)," ")</f>
        <v>SI</v>
      </c>
    </row>
    <row r="74" spans="1:10">
      <c r="A74" s="83">
        <f t="shared" si="1"/>
        <v>73</v>
      </c>
      <c r="B74" s="33">
        <v>46048</v>
      </c>
      <c r="C74" s="63">
        <f>IFERROR(LOOKUP(D74,SOCIO!B:B,SOCIO!A:A),"")</f>
        <v>3156</v>
      </c>
      <c r="D74" s="56" t="s">
        <v>1664</v>
      </c>
      <c r="E74" s="34">
        <v>2</v>
      </c>
      <c r="F74" s="67" t="str">
        <f>IFERROR(LOOKUP(E74,CODIGOS!A:A,CODIGOS!B:B)," ")</f>
        <v>CUOTA NUEVO SOCIO</v>
      </c>
      <c r="H74" s="74">
        <f>IF(J74="SI",IFERROR(LOOKUP(E74,CODIGOS!A:A,CODIGOS!C:C)," "),IFERROR(LOOKUP(E74,CODIGOS!A:A,CODIGOS!D:D),""))</f>
        <v>30</v>
      </c>
      <c r="I74" s="35" t="str">
        <f>IFERROR(LOOKUP(C74,SOCIO!A:A,SOCIO!D:D)," ")</f>
        <v>SI</v>
      </c>
      <c r="J74" s="35" t="str">
        <f>IFERROR(LOOKUP(D74,SOCIO!B:B,SOCIO!C:C)," ")</f>
        <v>SI</v>
      </c>
    </row>
    <row r="75" spans="1:10">
      <c r="A75" s="83">
        <f t="shared" si="1"/>
        <v>74</v>
      </c>
      <c r="B75" s="33">
        <v>46048</v>
      </c>
      <c r="C75" s="63">
        <v>3157</v>
      </c>
      <c r="D75" s="56" t="s">
        <v>1665</v>
      </c>
      <c r="E75" s="34">
        <v>2</v>
      </c>
      <c r="F75" s="67" t="str">
        <f>IFERROR(LOOKUP(E75,CODIGOS!A:A,CODIGOS!B:B)," ")</f>
        <v>CUOTA NUEVO SOCIO</v>
      </c>
      <c r="H75" s="74">
        <f>IF(J75="SI",IFERROR(LOOKUP(E75,CODIGOS!A:A,CODIGOS!C:C)," "),IFERROR(LOOKUP(E75,CODIGOS!A:A,CODIGOS!D:D),""))</f>
        <v>30</v>
      </c>
      <c r="I75" s="35" t="str">
        <f>IFERROR(LOOKUP(C75,SOCIO!A:A,SOCIO!D:D)," ")</f>
        <v>SI</v>
      </c>
      <c r="J75" s="35" t="str">
        <f>IFERROR(LOOKUP(D75,SOCIO!B:B,SOCIO!C:C)," ")</f>
        <v>SI</v>
      </c>
    </row>
    <row r="76" spans="1:10">
      <c r="A76" s="83">
        <f t="shared" si="1"/>
        <v>75</v>
      </c>
      <c r="B76" s="33">
        <v>46048</v>
      </c>
      <c r="C76" s="63">
        <v>3158</v>
      </c>
      <c r="D76" s="97" t="s">
        <v>1666</v>
      </c>
      <c r="E76" s="34">
        <v>2</v>
      </c>
      <c r="F76" s="67" t="str">
        <f>IFERROR(LOOKUP(E76,CODIGOS!A:A,CODIGOS!B:B)," ")</f>
        <v>CUOTA NUEVO SOCIO</v>
      </c>
      <c r="H76" s="74">
        <f>IF(J76="SI",IFERROR(LOOKUP(E76,CODIGOS!A:A,CODIGOS!C:C)," "),IFERROR(LOOKUP(E76,CODIGOS!A:A,CODIGOS!D:D),""))</f>
        <v>30</v>
      </c>
      <c r="I76" s="35" t="str">
        <f>IFERROR(LOOKUP(C76,SOCIO!A:A,SOCIO!D:D)," ")</f>
        <v>SI</v>
      </c>
      <c r="J76" s="35" t="str">
        <f>IFERROR(LOOKUP(D76,SOCIO!B:B,SOCIO!C:C)," ")</f>
        <v>SI</v>
      </c>
    </row>
    <row r="77" spans="1:10">
      <c r="A77" s="83">
        <f t="shared" si="1"/>
        <v>76</v>
      </c>
      <c r="B77" s="33">
        <v>46042</v>
      </c>
      <c r="C77" s="63">
        <v>3159</v>
      </c>
      <c r="D77" s="97" t="s">
        <v>1667</v>
      </c>
      <c r="E77" s="34">
        <v>2</v>
      </c>
      <c r="F77" s="67" t="str">
        <f>IFERROR(LOOKUP(E77,CODIGOS!A:A,CODIGOS!B:B)," ")</f>
        <v>CUOTA NUEVO SOCIO</v>
      </c>
      <c r="H77" s="74">
        <f>IF(J77="SI",IFERROR(LOOKUP(E77,CODIGOS!A:A,CODIGOS!C:C)," "),IFERROR(LOOKUP(E77,CODIGOS!A:A,CODIGOS!D:D),""))</f>
        <v>30</v>
      </c>
      <c r="I77" s="35" t="str">
        <f>IFERROR(LOOKUP(C77,SOCIO!A:A,SOCIO!D:D)," ")</f>
        <v>SI</v>
      </c>
      <c r="J77" s="35" t="str">
        <f>IFERROR(LOOKUP(D77,SOCIO!B:B,SOCIO!C:C)," ")</f>
        <v>SI</v>
      </c>
    </row>
    <row r="78" spans="1:10">
      <c r="A78" s="83">
        <f t="shared" si="1"/>
        <v>77</v>
      </c>
      <c r="B78" s="33">
        <v>46048</v>
      </c>
      <c r="C78" s="63">
        <v>3160</v>
      </c>
      <c r="D78" s="97" t="s">
        <v>1668</v>
      </c>
      <c r="E78" s="34">
        <v>2</v>
      </c>
      <c r="F78" s="67" t="str">
        <f>IFERROR(LOOKUP(E78,CODIGOS!A:A,CODIGOS!B:B)," ")</f>
        <v>CUOTA NUEVO SOCIO</v>
      </c>
      <c r="H78" s="74">
        <f>IF(J78="SI",IFERROR(LOOKUP(E78,CODIGOS!A:A,CODIGOS!C:C)," "),IFERROR(LOOKUP(E78,CODIGOS!A:A,CODIGOS!D:D),""))</f>
        <v>30</v>
      </c>
      <c r="I78" s="35" t="str">
        <f>IFERROR(LOOKUP(C78,SOCIO!A:A,SOCIO!D:D)," ")</f>
        <v>SI</v>
      </c>
      <c r="J78" s="35" t="str">
        <f>IFERROR(LOOKUP(D78,SOCIO!B:B,SOCIO!C:C)," ")</f>
        <v>SI</v>
      </c>
    </row>
    <row r="79" spans="1:10">
      <c r="A79" s="83">
        <f t="shared" si="1"/>
        <v>78</v>
      </c>
      <c r="B79" s="33">
        <v>46049</v>
      </c>
      <c r="C79" s="63">
        <f>IFERROR(LOOKUP(D79,SOCIO!B:B,SOCIO!A:A),"")</f>
        <v>1930</v>
      </c>
      <c r="D79" s="97" t="s">
        <v>1162</v>
      </c>
      <c r="E79" s="34">
        <v>4</v>
      </c>
      <c r="F79" s="67" t="str">
        <f>IFERROR(LOOKUP(E79,CODIGOS!A:A,CODIGOS!B:B)," ")</f>
        <v>DEVOLUCION</v>
      </c>
      <c r="G79" s="56" t="s">
        <v>1669</v>
      </c>
      <c r="H79" s="74">
        <v>-22</v>
      </c>
      <c r="I79" s="35" t="str">
        <f>IFERROR(LOOKUP(C79,SOCIO!A:A,SOCIO!D:D)," ")</f>
        <v>SI</v>
      </c>
      <c r="J79" s="35" t="str">
        <f>IFERROR(LOOKUP(D79,SOCIO!B:B,SOCIO!C:C)," ")</f>
        <v>SI</v>
      </c>
    </row>
    <row r="80" spans="1:10">
      <c r="A80" s="83">
        <f t="shared" si="1"/>
        <v>79</v>
      </c>
      <c r="B80" s="33">
        <v>46049</v>
      </c>
      <c r="C80" s="63">
        <f>IFERROR(LOOKUP(D80,SOCIO!B:B,SOCIO!A:A),"")</f>
        <v>2004</v>
      </c>
      <c r="D80" s="97" t="s">
        <v>144</v>
      </c>
      <c r="E80" s="34">
        <v>4</v>
      </c>
      <c r="F80" s="67" t="str">
        <f>IFERROR(LOOKUP(E80,CODIGOS!A:A,CODIGOS!B:B)," ")</f>
        <v>DEVOLUCION</v>
      </c>
      <c r="G80" s="56" t="s">
        <v>1669</v>
      </c>
      <c r="H80" s="74">
        <v>-22</v>
      </c>
      <c r="I80" s="35" t="str">
        <f>IFERROR(LOOKUP(C80,SOCIO!A:A,SOCIO!D:D)," ")</f>
        <v>SI</v>
      </c>
      <c r="J80" s="35" t="str">
        <f>IFERROR(LOOKUP(D80,SOCIO!B:B,SOCIO!C:C)," ")</f>
        <v>SI</v>
      </c>
    </row>
    <row r="81" spans="1:10">
      <c r="A81" s="83">
        <f t="shared" si="1"/>
        <v>80</v>
      </c>
      <c r="B81" s="33">
        <v>46049</v>
      </c>
      <c r="C81" s="63">
        <f>IFERROR(LOOKUP(D81,SOCIO!B:B,SOCIO!A:A),"")</f>
        <v>2003</v>
      </c>
      <c r="D81" s="97" t="s">
        <v>145</v>
      </c>
      <c r="E81" s="34">
        <v>4</v>
      </c>
      <c r="F81" s="67" t="str">
        <f>IFERROR(LOOKUP(E81,CODIGOS!A:A,CODIGOS!B:B)," ")</f>
        <v>DEVOLUCION</v>
      </c>
      <c r="G81" s="56" t="s">
        <v>1669</v>
      </c>
      <c r="H81" s="74">
        <v>-22</v>
      </c>
      <c r="I81" s="35" t="str">
        <f>IFERROR(LOOKUP(C81,SOCIO!A:A,SOCIO!D:D)," ")</f>
        <v>SI</v>
      </c>
      <c r="J81" s="35" t="str">
        <f>IFERROR(LOOKUP(D81,SOCIO!B:B,SOCIO!C:C)," ")</f>
        <v>SI</v>
      </c>
    </row>
    <row r="82" spans="1:10">
      <c r="A82" s="83">
        <f t="shared" si="1"/>
        <v>81</v>
      </c>
      <c r="B82" s="33">
        <v>46049</v>
      </c>
      <c r="C82" s="63">
        <f>IFERROR(LOOKUP(D82,SOCIO!B:B,SOCIO!A:A),"")</f>
        <v>2004</v>
      </c>
      <c r="D82" s="97" t="s">
        <v>144</v>
      </c>
      <c r="E82" s="34">
        <v>4</v>
      </c>
      <c r="F82" s="67" t="str">
        <f>IFERROR(LOOKUP(E82,CODIGOS!A:A,CODIGOS!B:B)," ")</f>
        <v>DEVOLUCION</v>
      </c>
      <c r="G82" s="56" t="s">
        <v>1670</v>
      </c>
      <c r="H82" s="74">
        <v>-5</v>
      </c>
      <c r="I82" s="35" t="str">
        <f>IFERROR(LOOKUP(C82,SOCIO!A:A,SOCIO!D:D)," ")</f>
        <v>SI</v>
      </c>
      <c r="J82" s="35" t="str">
        <f>IFERROR(LOOKUP(D82,SOCIO!B:B,SOCIO!C:C)," ")</f>
        <v>SI</v>
      </c>
    </row>
    <row r="83" spans="1:10">
      <c r="A83" s="83">
        <f t="shared" si="1"/>
        <v>82</v>
      </c>
      <c r="B83" s="33">
        <v>46049</v>
      </c>
      <c r="C83" s="63">
        <f>IFERROR(LOOKUP(D83,SOCIO!B:B,SOCIO!A:A),"")</f>
        <v>2003</v>
      </c>
      <c r="D83" s="97" t="s">
        <v>145</v>
      </c>
      <c r="E83" s="34">
        <v>4</v>
      </c>
      <c r="F83" s="67" t="str">
        <f>IFERROR(LOOKUP(E83,CODIGOS!A:A,CODIGOS!B:B)," ")</f>
        <v>DEVOLUCION</v>
      </c>
      <c r="G83" s="56" t="s">
        <v>1670</v>
      </c>
      <c r="H83" s="74">
        <v>-5</v>
      </c>
      <c r="I83" s="35" t="str">
        <f>IFERROR(LOOKUP(C83,SOCIO!A:A,SOCIO!D:D)," ")</f>
        <v>SI</v>
      </c>
      <c r="J83" s="35" t="str">
        <f>IFERROR(LOOKUP(D83,SOCIO!B:B,SOCIO!C:C)," ")</f>
        <v>SI</v>
      </c>
    </row>
    <row r="84" spans="1:10">
      <c r="A84" s="83">
        <f t="shared" si="1"/>
        <v>83</v>
      </c>
      <c r="B84" s="33">
        <v>46049</v>
      </c>
      <c r="C84" s="63">
        <f>IFERROR(LOOKUP(D84,SOCIO!B:B,SOCIO!A:A),"")</f>
        <v>3004</v>
      </c>
      <c r="D84" s="97" t="s">
        <v>1483</v>
      </c>
      <c r="E84" s="34">
        <v>4</v>
      </c>
      <c r="F84" s="67" t="str">
        <f>IFERROR(LOOKUP(E84,CODIGOS!A:A,CODIGOS!B:B)," ")</f>
        <v>DEVOLUCION</v>
      </c>
      <c r="G84" s="56" t="s">
        <v>1670</v>
      </c>
      <c r="H84" s="74">
        <v>-5</v>
      </c>
      <c r="I84" s="35" t="str">
        <f>IFERROR(LOOKUP(C84,SOCIO!A:A,SOCIO!D:D)," ")</f>
        <v>SI</v>
      </c>
      <c r="J84" s="35" t="str">
        <f>IFERROR(LOOKUP(D84,SOCIO!B:B,SOCIO!C:C)," ")</f>
        <v>SI</v>
      </c>
    </row>
    <row r="85" spans="1:10">
      <c r="A85" s="83">
        <f t="shared" si="1"/>
        <v>84</v>
      </c>
      <c r="B85" s="33">
        <v>46049</v>
      </c>
      <c r="C85" s="63">
        <f>IFERROR(LOOKUP(D85,SOCIO!B:B,SOCIO!A:A),"")</f>
        <v>1930</v>
      </c>
      <c r="D85" s="97" t="s">
        <v>1162</v>
      </c>
      <c r="E85" s="34">
        <v>16</v>
      </c>
      <c r="F85" s="67" t="str">
        <f>IFERROR(LOOKUP(E85,CODIGOS!A:A,CODIGOS!B:B)," ")</f>
        <v>LA CARTUJA</v>
      </c>
      <c r="H85" s="74">
        <f>IF(J85="SI",IFERROR(LOOKUP(E85,CODIGOS!A:A,CODIGOS!C:C)," "),IFERROR(LOOKUP(E85,CODIGOS!A:A,CODIGOS!D:D),""))</f>
        <v>7</v>
      </c>
      <c r="I85" s="35" t="str">
        <f>IFERROR(LOOKUP(C85,SOCIO!A:A,SOCIO!D:D)," ")</f>
        <v>SI</v>
      </c>
      <c r="J85" s="35" t="str">
        <f>IFERROR(LOOKUP(D85,SOCIO!B:B,SOCIO!C:C)," ")</f>
        <v>SI</v>
      </c>
    </row>
    <row r="86" spans="1:10">
      <c r="A86" s="83">
        <f t="shared" si="1"/>
        <v>85</v>
      </c>
      <c r="B86" s="33">
        <v>46049</v>
      </c>
      <c r="C86" s="63">
        <f>IFERROR(LOOKUP(D86,SOCIO!B:B,SOCIO!A:A),"")</f>
        <v>2004</v>
      </c>
      <c r="D86" s="97" t="s">
        <v>144</v>
      </c>
      <c r="E86" s="34">
        <v>16</v>
      </c>
      <c r="F86" s="67" t="str">
        <f>IFERROR(LOOKUP(E86,CODIGOS!A:A,CODIGOS!B:B)," ")</f>
        <v>LA CARTUJA</v>
      </c>
      <c r="H86" s="74">
        <f>IF(J86="SI",IFERROR(LOOKUP(E86,CODIGOS!A:A,CODIGOS!C:C)," "),IFERROR(LOOKUP(E86,CODIGOS!A:A,CODIGOS!D:D),""))</f>
        <v>7</v>
      </c>
      <c r="I86" s="35" t="str">
        <f>IFERROR(LOOKUP(C86,SOCIO!A:A,SOCIO!D:D)," ")</f>
        <v>SI</v>
      </c>
      <c r="J86" s="35" t="str">
        <f>IFERROR(LOOKUP(D86,SOCIO!B:B,SOCIO!C:C)," ")</f>
        <v>SI</v>
      </c>
    </row>
    <row r="87" spans="1:10">
      <c r="A87" s="83">
        <f t="shared" si="1"/>
        <v>86</v>
      </c>
      <c r="B87" s="33">
        <v>46049</v>
      </c>
      <c r="C87" s="63">
        <f>IFERROR(LOOKUP(D87,SOCIO!B:B,SOCIO!A:A),"")</f>
        <v>2638</v>
      </c>
      <c r="D87" s="97" t="s">
        <v>1671</v>
      </c>
      <c r="E87" s="34">
        <v>16</v>
      </c>
      <c r="F87" s="67" t="str">
        <f>IFERROR(LOOKUP(E87,CODIGOS!A:A,CODIGOS!B:B)," ")</f>
        <v>LA CARTUJA</v>
      </c>
      <c r="H87" s="74">
        <f>IF(J87="SI",IFERROR(LOOKUP(E87,CODIGOS!A:A,CODIGOS!C:C)," "),IFERROR(LOOKUP(E87,CODIGOS!A:A,CODIGOS!D:D),""))</f>
        <v>7</v>
      </c>
      <c r="I87" s="35" t="str">
        <f>IFERROR(LOOKUP(C87,SOCIO!A:A,SOCIO!D:D)," ")</f>
        <v>NO</v>
      </c>
      <c r="J87" s="35" t="str">
        <f>IFERROR(LOOKUP(D87,SOCIO!B:B,SOCIO!C:C)," ")</f>
        <v>SI</v>
      </c>
    </row>
    <row r="88" spans="1:10">
      <c r="A88" s="83">
        <f t="shared" si="1"/>
        <v>87</v>
      </c>
      <c r="B88" s="33">
        <v>46049</v>
      </c>
      <c r="C88" s="63">
        <f>IFERROR(LOOKUP(D88,SOCIO!B:B,SOCIO!A:A),"")</f>
        <v>2308</v>
      </c>
      <c r="D88" s="70" t="s">
        <v>1460</v>
      </c>
      <c r="E88" s="34">
        <v>16</v>
      </c>
      <c r="F88" s="67" t="str">
        <f>IFERROR(LOOKUP(E88,CODIGOS!A:A,CODIGOS!B:B)," ")</f>
        <v>LA CARTUJA</v>
      </c>
      <c r="H88" s="74">
        <f>IF(J88="SI",IFERROR(LOOKUP(E88,CODIGOS!A:A,CODIGOS!C:C)," "),IFERROR(LOOKUP(E88,CODIGOS!A:A,CODIGOS!D:D),""))</f>
        <v>7</v>
      </c>
      <c r="I88" s="35" t="str">
        <f>IFERROR(LOOKUP(C88,SOCIO!A:A,SOCIO!D:D)," ")</f>
        <v>NO</v>
      </c>
      <c r="J88" s="35" t="str">
        <f>IFERROR(LOOKUP(D88,SOCIO!B:B,SOCIO!C:C)," ")</f>
        <v>SI</v>
      </c>
    </row>
    <row r="89" spans="1:10">
      <c r="A89" s="83">
        <f t="shared" si="1"/>
        <v>88</v>
      </c>
      <c r="B89" s="33">
        <v>46049</v>
      </c>
      <c r="C89" s="63">
        <f>IFERROR(LOOKUP(D89,SOCIO!B:B,SOCIO!A:A),"")</f>
        <v>2854</v>
      </c>
      <c r="D89" s="70" t="s">
        <v>1138</v>
      </c>
      <c r="E89" s="34">
        <v>16</v>
      </c>
      <c r="F89" s="67" t="str">
        <f>IFERROR(LOOKUP(E89,CODIGOS!A:A,CODIGOS!B:B)," ")</f>
        <v>LA CARTUJA</v>
      </c>
      <c r="H89" s="74">
        <f>IF(J89="SI",IFERROR(LOOKUP(E89,CODIGOS!A:A,CODIGOS!C:C)," "),IFERROR(LOOKUP(E89,CODIGOS!A:A,CODIGOS!D:D),""))</f>
        <v>7</v>
      </c>
      <c r="I89" s="35" t="str">
        <f>IFERROR(LOOKUP(C89,SOCIO!A:A,SOCIO!D:D)," ")</f>
        <v>SI</v>
      </c>
      <c r="J89" s="35" t="str">
        <f>IFERROR(LOOKUP(D89,SOCIO!B:B,SOCIO!C:C)," ")</f>
        <v>SI</v>
      </c>
    </row>
    <row r="90" spans="1:10">
      <c r="A90" s="83">
        <f t="shared" si="1"/>
        <v>89</v>
      </c>
      <c r="B90" s="33">
        <v>46049</v>
      </c>
      <c r="C90" s="63">
        <f>IFERROR(LOOKUP(D90,SOCIO!B:B,SOCIO!A:A),"")</f>
        <v>1823</v>
      </c>
      <c r="D90" s="70" t="s">
        <v>1147</v>
      </c>
      <c r="E90" s="34">
        <v>14</v>
      </c>
      <c r="F90" s="67" t="str">
        <f>IFERROR(LOOKUP(E90,CODIGOS!A:A,CODIGOS!B:B)," ")</f>
        <v>BASÍLICA DE SAN JUAN DE DIOS</v>
      </c>
      <c r="H90" s="74">
        <f>IF(J90="SI",IFERROR(LOOKUP(E90,CODIGOS!A:A,CODIGOS!C:C)," "),IFERROR(LOOKUP(E90,CODIGOS!A:A,CODIGOS!D:D),""))</f>
        <v>5</v>
      </c>
      <c r="I90" s="35" t="str">
        <f>IFERROR(LOOKUP(C90,SOCIO!A:A,SOCIO!D:D)," ")</f>
        <v>SI</v>
      </c>
      <c r="J90" s="35" t="str">
        <f>IFERROR(LOOKUP(D90,SOCIO!B:B,SOCIO!C:C)," ")</f>
        <v>SI</v>
      </c>
    </row>
    <row r="91" spans="1:10">
      <c r="A91" s="83">
        <f t="shared" si="1"/>
        <v>90</v>
      </c>
      <c r="B91" s="33">
        <v>46049</v>
      </c>
      <c r="C91" s="63">
        <f>IFERROR(LOOKUP(D91,SOCIO!B:B,SOCIO!A:A),"")</f>
        <v>1945</v>
      </c>
      <c r="D91" s="70" t="s">
        <v>1148</v>
      </c>
      <c r="E91" s="34">
        <v>14</v>
      </c>
      <c r="F91" s="67" t="str">
        <f>IFERROR(LOOKUP(E91,CODIGOS!A:A,CODIGOS!B:B)," ")</f>
        <v>BASÍLICA DE SAN JUAN DE DIOS</v>
      </c>
      <c r="H91" s="74">
        <f>IF(J91="SI",IFERROR(LOOKUP(E91,CODIGOS!A:A,CODIGOS!C:C)," "),IFERROR(LOOKUP(E91,CODIGOS!A:A,CODIGOS!D:D),""))</f>
        <v>5</v>
      </c>
      <c r="I91" s="35" t="str">
        <f>IFERROR(LOOKUP(C91,SOCIO!A:A,SOCIO!D:D)," ")</f>
        <v>SI</v>
      </c>
      <c r="J91" s="35" t="str">
        <f>IFERROR(LOOKUP(D91,SOCIO!B:B,SOCIO!C:C)," ")</f>
        <v>SI</v>
      </c>
    </row>
    <row r="92" spans="1:10">
      <c r="A92" s="83">
        <f t="shared" si="1"/>
        <v>91</v>
      </c>
      <c r="B92" s="33">
        <v>46049</v>
      </c>
      <c r="C92" s="63">
        <f>IFERROR(LOOKUP(D92,SOCIO!B:B,SOCIO!A:A),"")</f>
        <v>1928</v>
      </c>
      <c r="D92" s="70" t="s">
        <v>1160</v>
      </c>
      <c r="E92" s="34">
        <v>14</v>
      </c>
      <c r="F92" s="67" t="str">
        <f>IFERROR(LOOKUP(E92,CODIGOS!A:A,CODIGOS!B:B)," ")</f>
        <v>BASÍLICA DE SAN JUAN DE DIOS</v>
      </c>
      <c r="H92" s="74">
        <f>IF(J92="SI",IFERROR(LOOKUP(E92,CODIGOS!A:A,CODIGOS!C:C)," "),IFERROR(LOOKUP(E92,CODIGOS!A:A,CODIGOS!D:D),""))</f>
        <v>5</v>
      </c>
      <c r="I92" s="35" t="str">
        <f>IFERROR(LOOKUP(C92,SOCIO!A:A,SOCIO!D:D)," ")</f>
        <v>SI</v>
      </c>
      <c r="J92" s="35" t="str">
        <f>IFERROR(LOOKUP(D92,SOCIO!B:B,SOCIO!C:C)," ")</f>
        <v>SI</v>
      </c>
    </row>
    <row r="93" spans="1:10">
      <c r="A93" s="83">
        <f t="shared" si="1"/>
        <v>92</v>
      </c>
      <c r="B93" s="33">
        <v>46049</v>
      </c>
      <c r="C93" s="63">
        <f>IFERROR(LOOKUP(D93,SOCIO!B:B,SOCIO!A:A),"")</f>
        <v>1823</v>
      </c>
      <c r="D93" s="70" t="s">
        <v>1147</v>
      </c>
      <c r="E93" s="34">
        <v>16</v>
      </c>
      <c r="F93" s="67" t="str">
        <f>IFERROR(LOOKUP(E93,CODIGOS!A:A,CODIGOS!B:B)," ")</f>
        <v>LA CARTUJA</v>
      </c>
      <c r="H93" s="74">
        <f>IF(J93="SI",IFERROR(LOOKUP(E93,CODIGOS!A:A,CODIGOS!C:C)," "),IFERROR(LOOKUP(E93,CODIGOS!A:A,CODIGOS!D:D),""))</f>
        <v>7</v>
      </c>
      <c r="I93" s="35" t="str">
        <f>IFERROR(LOOKUP(C93,SOCIO!A:A,SOCIO!D:D)," ")</f>
        <v>SI</v>
      </c>
      <c r="J93" s="35" t="str">
        <f>IFERROR(LOOKUP(D93,SOCIO!B:B,SOCIO!C:C)," ")</f>
        <v>SI</v>
      </c>
    </row>
    <row r="94" spans="1:10">
      <c r="A94" s="83">
        <f t="shared" si="1"/>
        <v>93</v>
      </c>
      <c r="B94" s="33">
        <v>46049</v>
      </c>
      <c r="C94" s="63">
        <f>IFERROR(LOOKUP(D94,SOCIO!B:B,SOCIO!A:A),"")</f>
        <v>1945</v>
      </c>
      <c r="D94" s="70" t="s">
        <v>1148</v>
      </c>
      <c r="E94" s="34">
        <v>16</v>
      </c>
      <c r="F94" s="67" t="str">
        <f>IFERROR(LOOKUP(E94,CODIGOS!A:A,CODIGOS!B:B)," ")</f>
        <v>LA CARTUJA</v>
      </c>
      <c r="H94" s="74">
        <f>IF(J94="SI",IFERROR(LOOKUP(E94,CODIGOS!A:A,CODIGOS!C:C)," "),IFERROR(LOOKUP(E94,CODIGOS!A:A,CODIGOS!D:D),""))</f>
        <v>7</v>
      </c>
      <c r="I94" s="35" t="str">
        <f>IFERROR(LOOKUP(C94,SOCIO!A:A,SOCIO!D:D)," ")</f>
        <v>SI</v>
      </c>
      <c r="J94" s="35" t="str">
        <f>IFERROR(LOOKUP(D94,SOCIO!B:B,SOCIO!C:C)," ")</f>
        <v>SI</v>
      </c>
    </row>
    <row r="95" spans="1:10">
      <c r="A95" s="83">
        <f t="shared" si="1"/>
        <v>94</v>
      </c>
      <c r="B95" s="33">
        <v>46049</v>
      </c>
      <c r="C95" s="63">
        <f>IFERROR(LOOKUP(D95,SOCIO!B:B,SOCIO!A:A),"")</f>
        <v>1928</v>
      </c>
      <c r="D95" s="70" t="s">
        <v>1160</v>
      </c>
      <c r="E95" s="34">
        <v>16</v>
      </c>
      <c r="F95" s="67" t="str">
        <f>IFERROR(LOOKUP(E95,CODIGOS!A:A,CODIGOS!B:B)," ")</f>
        <v>LA CARTUJA</v>
      </c>
      <c r="H95" s="74">
        <f>IF(J95="SI",IFERROR(LOOKUP(E95,CODIGOS!A:A,CODIGOS!C:C)," "),IFERROR(LOOKUP(E95,CODIGOS!A:A,CODIGOS!D:D),""))</f>
        <v>7</v>
      </c>
      <c r="I95" s="35" t="str">
        <f>IFERROR(LOOKUP(C95,SOCIO!A:A,SOCIO!D:D)," ")</f>
        <v>SI</v>
      </c>
      <c r="J95" s="35" t="str">
        <f>IFERROR(LOOKUP(D95,SOCIO!B:B,SOCIO!C:C)," ")</f>
        <v>SI</v>
      </c>
    </row>
    <row r="96" spans="1:10">
      <c r="A96" s="83">
        <f t="shared" si="1"/>
        <v>95</v>
      </c>
      <c r="B96" s="113">
        <v>46055</v>
      </c>
      <c r="C96" s="63">
        <f>IFERROR(LOOKUP(D96,SOCIO!B:B,SOCIO!A:A),"")</f>
        <v>2874</v>
      </c>
      <c r="D96" s="70" t="s">
        <v>1192</v>
      </c>
      <c r="E96" s="34">
        <v>17</v>
      </c>
      <c r="F96" s="67" t="str">
        <f>IFERROR(LOOKUP(E96,CODIGOS!A:A,CODIGOS!B:B)," ")</f>
        <v>VISITA CASA DE LOS PISAS</v>
      </c>
      <c r="H96" s="74">
        <v>5</v>
      </c>
      <c r="J96" s="35" t="str">
        <f>IFERROR(LOOKUP(D96,SOCIO!B:B,SOCIO!C:C)," ")</f>
        <v>SI</v>
      </c>
    </row>
    <row r="97" spans="1:10">
      <c r="A97" s="83">
        <f t="shared" si="1"/>
        <v>96</v>
      </c>
      <c r="B97" s="113">
        <v>46055</v>
      </c>
      <c r="C97" s="63">
        <f>IFERROR(LOOKUP(D97,SOCIO!B:B,SOCIO!A:A),"")</f>
        <v>2874</v>
      </c>
      <c r="D97" s="70" t="s">
        <v>1192</v>
      </c>
      <c r="E97" s="34">
        <v>16</v>
      </c>
      <c r="F97" s="67" t="str">
        <f>IFERROR(LOOKUP(E97,CODIGOS!A:A,CODIGOS!B:B)," ")</f>
        <v>LA CARTUJA</v>
      </c>
      <c r="H97" s="74">
        <f>IF(J97="SI",IFERROR(LOOKUP(E97,CODIGOS!A:A,CODIGOS!C:C)," "),IFERROR(LOOKUP(E97,CODIGOS!A:A,CODIGOS!D:D),""))</f>
        <v>7</v>
      </c>
      <c r="J97" s="35" t="str">
        <f>IFERROR(LOOKUP(D97,SOCIO!B:B,SOCIO!C:C)," ")</f>
        <v>SI</v>
      </c>
    </row>
    <row r="98" spans="1:10">
      <c r="A98" s="83">
        <f t="shared" si="1"/>
        <v>97</v>
      </c>
      <c r="B98" s="113">
        <v>46055</v>
      </c>
      <c r="C98" s="63">
        <f>IFERROR(LOOKUP(D98,SOCIO!B:B,SOCIO!A:A),"")</f>
        <v>3049</v>
      </c>
      <c r="D98" s="70" t="s">
        <v>1497</v>
      </c>
      <c r="E98" s="34">
        <v>16</v>
      </c>
      <c r="F98" s="67" t="str">
        <f>IFERROR(LOOKUP(E98,CODIGOS!A:A,CODIGOS!B:B)," ")</f>
        <v>LA CARTUJA</v>
      </c>
      <c r="H98" s="74">
        <f>IF(J98="SI",IFERROR(LOOKUP(E98,CODIGOS!A:A,CODIGOS!C:C)," "),IFERROR(LOOKUP(E98,CODIGOS!A:A,CODIGOS!D:D),""))</f>
        <v>7</v>
      </c>
      <c r="J98" s="35" t="str">
        <f>IFERROR(LOOKUP(D98,SOCIO!B:B,SOCIO!C:C)," ")</f>
        <v>SI</v>
      </c>
    </row>
    <row r="99" spans="1:10">
      <c r="A99" s="83">
        <f t="shared" si="1"/>
        <v>98</v>
      </c>
      <c r="B99" s="113">
        <v>46055</v>
      </c>
      <c r="C99" s="63">
        <f>IFERROR(LOOKUP(D99,SOCIO!B:B,SOCIO!A:A),"")</f>
        <v>2642</v>
      </c>
      <c r="D99" s="70" t="s">
        <v>1313</v>
      </c>
      <c r="E99" s="34">
        <v>16</v>
      </c>
      <c r="F99" s="67" t="str">
        <f>IFERROR(LOOKUP(E99,CODIGOS!A:A,CODIGOS!B:B)," ")</f>
        <v>LA CARTUJA</v>
      </c>
      <c r="H99" s="74">
        <f>IF(J99="SI",IFERROR(LOOKUP(E99,CODIGOS!A:A,CODIGOS!C:C)," "),IFERROR(LOOKUP(E99,CODIGOS!A:A,CODIGOS!D:D),""))</f>
        <v>7</v>
      </c>
      <c r="J99" s="35" t="str">
        <f>IFERROR(LOOKUP(D99,SOCIO!B:B,SOCIO!C:C)," ")</f>
        <v>SI</v>
      </c>
    </row>
    <row r="100" spans="1:10">
      <c r="A100" s="83">
        <f t="shared" si="1"/>
        <v>99</v>
      </c>
      <c r="B100" s="33">
        <v>46056</v>
      </c>
      <c r="C100" s="63">
        <f>IFERROR(LOOKUP(D100,SOCIO!B:B,SOCIO!A:A),"")</f>
        <v>3000</v>
      </c>
      <c r="D100" s="70" t="s">
        <v>1481</v>
      </c>
      <c r="E100" s="34">
        <v>16</v>
      </c>
      <c r="F100" s="67" t="str">
        <f>IFERROR(LOOKUP(E100,CODIGOS!A:A,CODIGOS!B:B)," ")</f>
        <v>LA CARTUJA</v>
      </c>
      <c r="H100" s="74">
        <f>IF(J100="SI",IFERROR(LOOKUP(E100,CODIGOS!A:A,CODIGOS!C:C)," "),IFERROR(LOOKUP(E100,CODIGOS!A:A,CODIGOS!D:D),""))</f>
        <v>7</v>
      </c>
      <c r="J100" s="35" t="str">
        <f>IFERROR(LOOKUP(D100,SOCIO!B:B,SOCIO!C:C)," ")</f>
        <v>SI</v>
      </c>
    </row>
    <row r="101" spans="1:10">
      <c r="A101" s="83">
        <f t="shared" si="1"/>
        <v>100</v>
      </c>
      <c r="B101" s="33">
        <v>46056</v>
      </c>
      <c r="C101" s="96" t="s">
        <v>1675</v>
      </c>
      <c r="D101" s="97" t="s">
        <v>1676</v>
      </c>
      <c r="E101" s="34">
        <v>16</v>
      </c>
      <c r="F101" s="67" t="str">
        <f>IFERROR(LOOKUP(E101,CODIGOS!A:A,CODIGOS!B:B)," ")</f>
        <v>LA CARTUJA</v>
      </c>
      <c r="H101" s="74">
        <f>IF(J8100="SI",IFERROR(LOOKUP(E101,CODIGOS!A:A,CODIGOS!C:C)," "),IFERROR(LOOKUP(E101,CODIGOS!A:A,CODIGOS!D:D),""))</f>
        <v>8</v>
      </c>
      <c r="J101" s="35" t="str">
        <f>IFERROR(LOOKUP(D101,SOCIO!B:B,SOCIO!C:C)," ")</f>
        <v>SI</v>
      </c>
    </row>
    <row r="102" spans="1:10">
      <c r="A102" s="83">
        <f t="shared" si="1"/>
        <v>101</v>
      </c>
      <c r="B102" s="33">
        <v>46056</v>
      </c>
      <c r="C102" s="63">
        <f>IFERROR(LOOKUP(D102,SOCIO!B:B,SOCIO!A:A),"")</f>
        <v>1930</v>
      </c>
      <c r="D102" s="97" t="s">
        <v>1162</v>
      </c>
      <c r="E102" s="34">
        <v>4</v>
      </c>
      <c r="F102" s="67" t="str">
        <f>IFERROR(LOOKUP(E102,CODIGOS!A:A,CODIGOS!B:B)," ")</f>
        <v>DEVOLUCION</v>
      </c>
      <c r="G102" s="56" t="s">
        <v>1677</v>
      </c>
      <c r="H102" s="74">
        <v>-5</v>
      </c>
      <c r="J102" s="35" t="str">
        <f>IFERROR(LOOKUP(D102,SOCIO!B:B,SOCIO!C:C)," ")</f>
        <v>SI</v>
      </c>
    </row>
    <row r="103" spans="1:10">
      <c r="A103" s="83">
        <f t="shared" si="1"/>
        <v>102</v>
      </c>
      <c r="B103" s="33">
        <v>46062</v>
      </c>
      <c r="C103" s="63"/>
      <c r="D103" s="70" t="s">
        <v>1354</v>
      </c>
      <c r="E103" s="34">
        <v>18</v>
      </c>
      <c r="F103" s="67" t="str">
        <f>IFERROR(LOOKUP(E103,CODIGOS!A:A,CODIGOS!B:B)," ")</f>
        <v>COMIDA DE PATRONA</v>
      </c>
      <c r="H103" s="114" t="s">
        <v>1679</v>
      </c>
      <c r="J103" s="35" t="str">
        <f>IFERROR(LOOKUP(D103,SOCIO!B:B,SOCIO!C:C)," ")</f>
        <v>SI</v>
      </c>
    </row>
    <row r="104" spans="1:10">
      <c r="A104" s="83">
        <f t="shared" si="1"/>
        <v>103</v>
      </c>
      <c r="B104" s="33">
        <v>46062</v>
      </c>
      <c r="C104" s="63">
        <f>IFERROR(LOOKUP(D104,SOCIO!B:B,SOCIO!A:A),"")</f>
        <v>2310</v>
      </c>
      <c r="D104" s="70" t="s">
        <v>1425</v>
      </c>
      <c r="E104" s="34">
        <v>18</v>
      </c>
      <c r="F104" s="67" t="str">
        <f>IFERROR(LOOKUP(E104,CODIGOS!A:A,CODIGOS!B:B)," ")</f>
        <v>COMIDA DE PATRONA</v>
      </c>
      <c r="H104" s="74">
        <f>IF(J104="SI",IFERROR(LOOKUP(E104,CODIGOS!A:A,CODIGOS!C:C)," "),IFERROR(LOOKUP(E104,CODIGOS!A:A,CODIGOS!D:D),""))</f>
        <v>55</v>
      </c>
      <c r="J104" s="35" t="str">
        <f>IFERROR(LOOKUP(D104,SOCIO!B:B,SOCIO!C:C)," ")</f>
        <v>SI</v>
      </c>
    </row>
    <row r="105" spans="1:10">
      <c r="A105" s="83">
        <f t="shared" si="1"/>
        <v>104</v>
      </c>
      <c r="B105" s="33">
        <v>46062</v>
      </c>
      <c r="C105" s="63">
        <f>IFERROR(LOOKUP(D105,SOCIO!B:B,SOCIO!A:A),"")</f>
        <v>2369</v>
      </c>
      <c r="D105" s="70" t="s">
        <v>1113</v>
      </c>
      <c r="E105" s="34">
        <v>18</v>
      </c>
      <c r="F105" s="67" t="str">
        <f>IFERROR(LOOKUP(E105,CODIGOS!A:A,CODIGOS!B:B)," ")</f>
        <v>COMIDA DE PATRONA</v>
      </c>
      <c r="H105" s="74">
        <f>IF(J105="SI",IFERROR(LOOKUP(E105,CODIGOS!A:A,CODIGOS!C:C)," "),IFERROR(LOOKUP(E105,CODIGOS!A:A,CODIGOS!D:D),""))</f>
        <v>55</v>
      </c>
      <c r="J105" s="35" t="str">
        <f>IFERROR(LOOKUP(D105,SOCIO!B:B,SOCIO!C:C)," ")</f>
        <v>SI</v>
      </c>
    </row>
    <row r="106" spans="1:10">
      <c r="A106" s="83">
        <f t="shared" si="1"/>
        <v>105</v>
      </c>
      <c r="B106" s="33">
        <v>46062</v>
      </c>
      <c r="C106" s="63">
        <f>IFERROR(LOOKUP(D106,SOCIO!B:B,SOCIO!A:A),"")</f>
        <v>2939</v>
      </c>
      <c r="D106" s="70" t="s">
        <v>1253</v>
      </c>
      <c r="E106" s="34">
        <v>18</v>
      </c>
      <c r="F106" s="67" t="str">
        <f>IFERROR(LOOKUP(E106,CODIGOS!A:A,CODIGOS!B:B)," ")</f>
        <v>COMIDA DE PATRONA</v>
      </c>
      <c r="H106" s="74">
        <f>IF(J106="SI",IFERROR(LOOKUP(E106,CODIGOS!A:A,CODIGOS!C:C)," "),IFERROR(LOOKUP(E106,CODIGOS!A:A,CODIGOS!D:D),""))</f>
        <v>55</v>
      </c>
      <c r="J106" s="35" t="str">
        <f>IFERROR(LOOKUP(D106,SOCIO!B:B,SOCIO!C:C)," ")</f>
        <v>SI</v>
      </c>
    </row>
    <row r="107" spans="1:10">
      <c r="A107" s="83">
        <f t="shared" si="1"/>
        <v>106</v>
      </c>
      <c r="B107" s="33">
        <v>46062</v>
      </c>
      <c r="C107" s="63">
        <f>IFERROR(LOOKUP(D107,SOCIO!B:B,SOCIO!A:A),"")</f>
        <v>3055</v>
      </c>
      <c r="D107" s="70" t="s">
        <v>1515</v>
      </c>
      <c r="E107" s="34">
        <v>18</v>
      </c>
      <c r="F107" s="67" t="str">
        <f>IFERROR(LOOKUP(E107,CODIGOS!A:A,CODIGOS!B:B)," ")</f>
        <v>COMIDA DE PATRONA</v>
      </c>
      <c r="H107" s="74">
        <f>IF(J107="SI",IFERROR(LOOKUP(E107,CODIGOS!A:A,CODIGOS!C:C)," "),IFERROR(LOOKUP(E107,CODIGOS!A:A,CODIGOS!D:D),""))</f>
        <v>55</v>
      </c>
      <c r="J107" s="35" t="str">
        <f>IFERROR(LOOKUP(D107,SOCIO!B:B,SOCIO!C:C)," ")</f>
        <v>SI</v>
      </c>
    </row>
    <row r="108" spans="1:10">
      <c r="A108" s="83">
        <f t="shared" si="1"/>
        <v>107</v>
      </c>
      <c r="B108" s="33">
        <v>46062</v>
      </c>
      <c r="C108" s="63">
        <f>IFERROR(LOOKUP(D108,SOCIO!B:B,SOCIO!A:A),"")</f>
        <v>2827</v>
      </c>
      <c r="D108" s="70" t="s">
        <v>1476</v>
      </c>
      <c r="E108" s="34">
        <v>18</v>
      </c>
      <c r="F108" s="67" t="str">
        <f>IFERROR(LOOKUP(E108,CODIGOS!A:A,CODIGOS!B:B)," ")</f>
        <v>COMIDA DE PATRONA</v>
      </c>
      <c r="H108" s="74">
        <f>IF(J108="SI",IFERROR(LOOKUP(E108,CODIGOS!A:A,CODIGOS!C:C)," "),IFERROR(LOOKUP(E108,CODIGOS!A:A,CODIGOS!D:D),""))</f>
        <v>55</v>
      </c>
      <c r="J108" s="35" t="str">
        <f>IFERROR(LOOKUP(D108,SOCIO!B:B,SOCIO!C:C)," ")</f>
        <v>SI</v>
      </c>
    </row>
    <row r="109" spans="1:10">
      <c r="A109" s="83">
        <f t="shared" si="1"/>
        <v>108</v>
      </c>
      <c r="B109" s="33">
        <v>46062</v>
      </c>
      <c r="C109" s="63">
        <f>IFERROR(LOOKUP(D109,SOCIO!B:B,SOCIO!A:A),"")</f>
        <v>3052</v>
      </c>
      <c r="D109" s="70" t="s">
        <v>1512</v>
      </c>
      <c r="E109" s="34">
        <v>18</v>
      </c>
      <c r="F109" s="67" t="str">
        <f>IFERROR(LOOKUP(E109,CODIGOS!A:A,CODIGOS!B:B)," ")</f>
        <v>COMIDA DE PATRONA</v>
      </c>
      <c r="H109" s="74">
        <f>IF(J109="SI",IFERROR(LOOKUP(E109,CODIGOS!A:A,CODIGOS!C:C)," "),IFERROR(LOOKUP(E109,CODIGOS!A:A,CODIGOS!D:D),""))</f>
        <v>55</v>
      </c>
      <c r="J109" s="35" t="str">
        <f>IFERROR(LOOKUP(D109,SOCIO!B:B,SOCIO!C:C)," ")</f>
        <v>SI</v>
      </c>
    </row>
    <row r="110" spans="1:10">
      <c r="A110" s="83">
        <f t="shared" si="1"/>
        <v>109</v>
      </c>
      <c r="B110" s="33">
        <v>46062</v>
      </c>
      <c r="C110" s="63">
        <f>IFERROR(LOOKUP(D110,SOCIO!B:B,SOCIO!A:A),"")</f>
        <v>2827</v>
      </c>
      <c r="D110" s="70" t="s">
        <v>1476</v>
      </c>
      <c r="E110" s="34">
        <v>19</v>
      </c>
      <c r="F110" s="67" t="str">
        <f>IFERROR(LOOKUP(E110,CODIGOS!A:A,CODIGOS!B:B)," ")</f>
        <v>VISITA MOTRIL</v>
      </c>
      <c r="H110" s="74">
        <f>IF(J110="SI",IFERROR(LOOKUP(E110,CODIGOS!A:A,CODIGOS!C:C)," "),IFERROR(LOOKUP(E110,CODIGOS!A:A,CODIGOS!D:D),""))</f>
        <v>15</v>
      </c>
      <c r="J110" s="35" t="str">
        <f>IFERROR(LOOKUP(D110,SOCIO!B:B,SOCIO!C:C)," ")</f>
        <v>SI</v>
      </c>
    </row>
    <row r="111" spans="1:10">
      <c r="A111" s="83">
        <f t="shared" si="1"/>
        <v>110</v>
      </c>
      <c r="B111" s="33">
        <v>46062</v>
      </c>
      <c r="C111" s="63">
        <v>2721</v>
      </c>
      <c r="D111" s="97" t="s">
        <v>1640</v>
      </c>
      <c r="E111" s="34">
        <v>18</v>
      </c>
      <c r="F111" s="67" t="str">
        <f>IFERROR(LOOKUP(E111,CODIGOS!A:A,CODIGOS!B:B)," ")</f>
        <v>COMIDA DE PATRONA</v>
      </c>
      <c r="H111" s="74">
        <f>IF(J111="SI",IFERROR(LOOKUP(E111,CODIGOS!A:A,CODIGOS!C:C)," "),IFERROR(LOOKUP(E111,CODIGOS!A:A,CODIGOS!D:D),""))</f>
        <v>55</v>
      </c>
      <c r="J111" s="35" t="str">
        <f>IFERROR(LOOKUP(D111,SOCIO!B:B,SOCIO!C:C)," ")</f>
        <v>SI</v>
      </c>
    </row>
    <row r="112" spans="1:10">
      <c r="A112" s="83">
        <f t="shared" si="1"/>
        <v>111</v>
      </c>
      <c r="B112" s="33">
        <v>46062</v>
      </c>
      <c r="C112" s="63">
        <v>3161</v>
      </c>
      <c r="D112" s="97" t="s">
        <v>1681</v>
      </c>
      <c r="E112" s="34">
        <v>2</v>
      </c>
      <c r="F112" s="67" t="str">
        <f>IFERROR(LOOKUP(E112,CODIGOS!A:A,CODIGOS!B:B)," ")</f>
        <v>CUOTA NUEVO SOCIO</v>
      </c>
      <c r="H112" s="74">
        <f>IF(J112="SI",IFERROR(LOOKUP(E112,CODIGOS!A:A,CODIGOS!C:C)," "),IFERROR(LOOKUP(E112,CODIGOS!A:A,CODIGOS!D:D),""))</f>
        <v>30</v>
      </c>
      <c r="J112" s="35" t="str">
        <f>IFERROR(LOOKUP(D112,SOCIO!B:B,SOCIO!C:C)," ")</f>
        <v>SI</v>
      </c>
    </row>
    <row r="113" spans="1:10">
      <c r="A113" s="83">
        <f t="shared" si="1"/>
        <v>112</v>
      </c>
      <c r="B113" s="33">
        <v>46062</v>
      </c>
      <c r="C113" s="63">
        <f>IFERROR(LOOKUP(D113,SOCIO!B:B,SOCIO!A:A),"")</f>
        <v>2956</v>
      </c>
      <c r="D113" s="70" t="s">
        <v>1203</v>
      </c>
      <c r="E113" s="34">
        <v>18</v>
      </c>
      <c r="F113" s="67" t="str">
        <f>IFERROR(LOOKUP(E113,CODIGOS!A:A,CODIGOS!B:B)," ")</f>
        <v>COMIDA DE PATRONA</v>
      </c>
      <c r="H113" s="74">
        <f>IF(J113="SI",IFERROR(LOOKUP(E113,CODIGOS!A:A,CODIGOS!C:C)," "),IFERROR(LOOKUP(E113,CODIGOS!A:A,CODIGOS!D:D),""))</f>
        <v>55</v>
      </c>
      <c r="J113" s="35" t="str">
        <f>IFERROR(LOOKUP(D113,SOCIO!B:B,SOCIO!C:C)," ")</f>
        <v>SI</v>
      </c>
    </row>
    <row r="114" spans="1:10">
      <c r="A114" s="83">
        <f t="shared" si="1"/>
        <v>113</v>
      </c>
      <c r="B114" s="33">
        <v>46062</v>
      </c>
      <c r="C114" s="63">
        <f>IFERROR(LOOKUP(D114,SOCIO!B:B,SOCIO!A:A),"")</f>
        <v>3002</v>
      </c>
      <c r="D114" s="70" t="s">
        <v>1482</v>
      </c>
      <c r="E114" s="34">
        <v>18</v>
      </c>
      <c r="F114" s="67" t="str">
        <f>IFERROR(LOOKUP(E114,CODIGOS!A:A,CODIGOS!B:B)," ")</f>
        <v>COMIDA DE PATRONA</v>
      </c>
      <c r="H114" s="74">
        <f>IF(J114="SI",IFERROR(LOOKUP(E114,CODIGOS!A:A,CODIGOS!C:C)," "),IFERROR(LOOKUP(E114,CODIGOS!A:A,CODIGOS!D:D),""))</f>
        <v>55</v>
      </c>
      <c r="J114" s="35" t="str">
        <f>IFERROR(LOOKUP(D114,SOCIO!B:B,SOCIO!C:C)," ")</f>
        <v>SI</v>
      </c>
    </row>
    <row r="115" spans="1:10">
      <c r="A115" s="83">
        <f t="shared" si="1"/>
        <v>114</v>
      </c>
      <c r="B115" s="33">
        <v>46062</v>
      </c>
      <c r="C115" s="63">
        <v>3003</v>
      </c>
      <c r="D115" s="97" t="s">
        <v>1682</v>
      </c>
      <c r="E115" s="34">
        <v>18</v>
      </c>
      <c r="F115" s="67" t="str">
        <f>IFERROR(LOOKUP(E115,CODIGOS!A:A,CODIGOS!B:B)," ")</f>
        <v>COMIDA DE PATRONA</v>
      </c>
      <c r="H115" s="74">
        <f>IF(J115="SI",IFERROR(LOOKUP(E115,CODIGOS!A:A,CODIGOS!C:C)," "),IFERROR(LOOKUP(E115,CODIGOS!A:A,CODIGOS!D:D),""))</f>
        <v>55</v>
      </c>
      <c r="J115" s="35" t="str">
        <f>IFERROR(LOOKUP(D115,SOCIO!B:B,SOCIO!C:C)," ")</f>
        <v>SI</v>
      </c>
    </row>
    <row r="116" spans="1:10">
      <c r="A116" s="83">
        <f t="shared" si="1"/>
        <v>115</v>
      </c>
      <c r="B116" s="33">
        <v>46062</v>
      </c>
      <c r="C116" s="63">
        <f>IFERROR(LOOKUP(D116,SOCIO!B:B,SOCIO!A:A),"")</f>
        <v>2938</v>
      </c>
      <c r="D116" s="70" t="s">
        <v>1172</v>
      </c>
      <c r="E116" s="34">
        <v>18</v>
      </c>
      <c r="F116" s="67" t="str">
        <f>IFERROR(LOOKUP(E116,CODIGOS!A:A,CODIGOS!B:B)," ")</f>
        <v>COMIDA DE PATRONA</v>
      </c>
      <c r="H116" s="74">
        <f>IF(J116="SI",IFERROR(LOOKUP(E116,CODIGOS!A:A,CODIGOS!C:C)," "),IFERROR(LOOKUP(E116,CODIGOS!A:A,CODIGOS!D:D),""))</f>
        <v>55</v>
      </c>
      <c r="J116" s="35" t="str">
        <f>IFERROR(LOOKUP(D116,SOCIO!B:B,SOCIO!C:C)," ")</f>
        <v>SI</v>
      </c>
    </row>
    <row r="117" spans="1:10">
      <c r="A117" s="83">
        <f t="shared" si="1"/>
        <v>116</v>
      </c>
      <c r="B117" s="33">
        <v>46062</v>
      </c>
      <c r="C117" s="96" t="s">
        <v>1684</v>
      </c>
      <c r="D117" s="97" t="s">
        <v>1683</v>
      </c>
      <c r="E117" s="34">
        <v>18</v>
      </c>
      <c r="F117" s="67" t="str">
        <f>IFERROR(LOOKUP(E117,CODIGOS!A:A,CODIGOS!B:B)," ")</f>
        <v>COMIDA DE PATRONA</v>
      </c>
      <c r="H117" s="74">
        <f>IF(J117="SI",IFERROR(LOOKUP(E117,CODIGOS!A:A,CODIGOS!C:C)," "),IFERROR(LOOKUP(E117,CODIGOS!A:A,CODIGOS!D:D),""))</f>
        <v>55</v>
      </c>
      <c r="J117" s="35" t="str">
        <f>IFERROR(LOOKUP(D117,SOCIO!B:B,SOCIO!C:C)," ")</f>
        <v>SI</v>
      </c>
    </row>
    <row r="118" spans="1:10">
      <c r="A118" s="83">
        <f t="shared" si="1"/>
        <v>117</v>
      </c>
      <c r="B118" s="33">
        <v>46062</v>
      </c>
      <c r="C118" s="63">
        <f>IFERROR(LOOKUP(D118,SOCIO!B:B,SOCIO!A:A),"")</f>
        <v>2823</v>
      </c>
      <c r="D118" s="70" t="s">
        <v>1092</v>
      </c>
      <c r="E118" s="34">
        <v>18</v>
      </c>
      <c r="F118" s="67" t="str">
        <f>IFERROR(LOOKUP(E118,CODIGOS!A:A,CODIGOS!B:B)," ")</f>
        <v>COMIDA DE PATRONA</v>
      </c>
      <c r="H118" s="114" t="s">
        <v>1679</v>
      </c>
      <c r="J118" s="35" t="str">
        <f>IFERROR(LOOKUP(D118,SOCIO!B:B,SOCIO!C:C)," ")</f>
        <v>SI</v>
      </c>
    </row>
    <row r="119" spans="1:10">
      <c r="A119" s="83">
        <f t="shared" si="1"/>
        <v>118</v>
      </c>
      <c r="B119" s="33">
        <v>46063</v>
      </c>
      <c r="C119" s="63">
        <f>IFERROR(LOOKUP(D119,SOCIO!B:B,SOCIO!A:A),"")</f>
        <v>1930</v>
      </c>
      <c r="D119" s="97" t="s">
        <v>1162</v>
      </c>
      <c r="E119" s="34">
        <v>4</v>
      </c>
      <c r="F119" s="67" t="str">
        <f>IFERROR(LOOKUP(E119,CODIGOS!A:A,CODIGOS!B:B)," ")</f>
        <v>DEVOLUCION</v>
      </c>
      <c r="G119" s="56" t="s">
        <v>1685</v>
      </c>
      <c r="H119" s="74">
        <v>-7</v>
      </c>
      <c r="J119" s="35" t="str">
        <f>IFERROR(LOOKUP(D119,SOCIO!B:B,SOCIO!C:C)," ")</f>
        <v>SI</v>
      </c>
    </row>
    <row r="120" spans="1:10">
      <c r="A120" s="83">
        <f t="shared" si="1"/>
        <v>119</v>
      </c>
      <c r="B120" s="33">
        <v>46063</v>
      </c>
      <c r="C120" s="63">
        <f>IFERROR(LOOKUP(D120,SOCIO!B:B,SOCIO!A:A),"")</f>
        <v>2004</v>
      </c>
      <c r="D120" s="97" t="s">
        <v>1686</v>
      </c>
      <c r="E120" s="34">
        <v>4</v>
      </c>
      <c r="F120" s="67" t="str">
        <f>IFERROR(LOOKUP(E120,CODIGOS!A:A,CODIGOS!B:B)," ")</f>
        <v>DEVOLUCION</v>
      </c>
      <c r="G120" s="56" t="s">
        <v>1685</v>
      </c>
      <c r="H120" s="74">
        <v>-7</v>
      </c>
      <c r="J120" s="35" t="str">
        <f>IFERROR(LOOKUP(D120,SOCIO!B:B,SOCIO!C:C)," ")</f>
        <v>SI</v>
      </c>
    </row>
    <row r="121" spans="1:10">
      <c r="A121" s="83">
        <f t="shared" si="1"/>
        <v>120</v>
      </c>
      <c r="B121" s="33">
        <v>46063</v>
      </c>
      <c r="C121" s="63">
        <f>IFERROR(LOOKUP(D121,SOCIO!B:B,SOCIO!A:A),"")</f>
        <v>2434</v>
      </c>
      <c r="D121" s="97" t="s">
        <v>1120</v>
      </c>
      <c r="E121" s="34">
        <v>18</v>
      </c>
      <c r="F121" s="67" t="str">
        <f>IFERROR(LOOKUP(E121,CODIGOS!A:A,CODIGOS!B:B)," ")</f>
        <v>COMIDA DE PATRONA</v>
      </c>
      <c r="H121" s="74">
        <f>IF(J121="SI",IFERROR(LOOKUP(E121,CODIGOS!A:A,CODIGOS!C:C)," "),IFERROR(LOOKUP(E121,CODIGOS!A:A,CODIGOS!D:D),""))</f>
        <v>55</v>
      </c>
      <c r="J121" s="35" t="str">
        <f>IFERROR(LOOKUP(D121,SOCIO!B:B,SOCIO!C:C)," ")</f>
        <v>SI</v>
      </c>
    </row>
    <row r="122" spans="1:10">
      <c r="A122" s="83">
        <f t="shared" si="1"/>
        <v>121</v>
      </c>
      <c r="B122" s="33">
        <v>46063</v>
      </c>
      <c r="C122" s="63">
        <f>IFERROR(LOOKUP(D122,SOCIO!B:B,SOCIO!A:A),"")</f>
        <v>2435</v>
      </c>
      <c r="D122" s="70" t="s">
        <v>1123</v>
      </c>
      <c r="E122" s="34">
        <v>18</v>
      </c>
      <c r="F122" s="67" t="str">
        <f>IFERROR(LOOKUP(E122,CODIGOS!A:A,CODIGOS!B:B)," ")</f>
        <v>COMIDA DE PATRONA</v>
      </c>
      <c r="H122" s="74">
        <f>IF(J122="SI",IFERROR(LOOKUP(E122,CODIGOS!A:A,CODIGOS!C:C)," "),IFERROR(LOOKUP(E122,CODIGOS!A:A,CODIGOS!D:D),""))</f>
        <v>55</v>
      </c>
      <c r="J122" s="35" t="str">
        <f>IFERROR(LOOKUP(D122,SOCIO!B:B,SOCIO!C:C)," ")</f>
        <v>SI</v>
      </c>
    </row>
    <row r="123" spans="1:10">
      <c r="A123" s="83">
        <f t="shared" si="1"/>
        <v>122</v>
      </c>
      <c r="B123" s="33">
        <v>46063</v>
      </c>
      <c r="C123" s="96" t="s">
        <v>1684</v>
      </c>
      <c r="D123" s="97" t="s">
        <v>1687</v>
      </c>
      <c r="E123" s="34">
        <v>18</v>
      </c>
      <c r="F123" s="67" t="str">
        <f>IFERROR(LOOKUP(E123,CODIGOS!A:A,CODIGOS!B:B)," ")</f>
        <v>COMIDA DE PATRONA</v>
      </c>
      <c r="H123" s="74">
        <f>IF(J123="SI",IFERROR(LOOKUP(E123,CODIGOS!A:A,CODIGOS!C:C)," "),IFERROR(LOOKUP(E123,CODIGOS!A:A,CODIGOS!D:D),""))</f>
        <v>55</v>
      </c>
      <c r="J123" s="35" t="str">
        <f>IFERROR(LOOKUP(D123,SOCIO!B:B,SOCIO!C:C)," ")</f>
        <v>SI</v>
      </c>
    </row>
    <row r="124" spans="1:10">
      <c r="A124" s="83">
        <f t="shared" si="1"/>
        <v>123</v>
      </c>
      <c r="B124" s="33">
        <v>46063</v>
      </c>
      <c r="C124" s="96" t="s">
        <v>1684</v>
      </c>
      <c r="D124" s="97" t="s">
        <v>1688</v>
      </c>
      <c r="E124" s="34">
        <v>18</v>
      </c>
      <c r="F124" s="67" t="str">
        <f>IFERROR(LOOKUP(E124,CODIGOS!A:A,CODIGOS!B:B)," ")</f>
        <v>COMIDA DE PATRONA</v>
      </c>
      <c r="H124" s="74">
        <f>IF(J124="SI",IFERROR(LOOKUP(E124,CODIGOS!A:A,CODIGOS!C:C)," "),IFERROR(LOOKUP(E124,CODIGOS!A:A,CODIGOS!D:D),""))</f>
        <v>55</v>
      </c>
      <c r="J124" s="35" t="str">
        <f>IFERROR(LOOKUP(D124,SOCIO!B:B,SOCIO!C:C)," ")</f>
        <v>SI</v>
      </c>
    </row>
    <row r="125" spans="1:10">
      <c r="A125" s="83">
        <f t="shared" si="1"/>
        <v>124</v>
      </c>
      <c r="B125" s="33">
        <v>46063</v>
      </c>
      <c r="C125" s="115" t="s">
        <v>1690</v>
      </c>
      <c r="D125" s="97" t="s">
        <v>1689</v>
      </c>
      <c r="E125" s="34">
        <v>18</v>
      </c>
      <c r="F125" s="67" t="str">
        <f>IFERROR(LOOKUP(E125,CODIGOS!A:A,CODIGOS!B:B)," ")</f>
        <v>COMIDA DE PATRONA</v>
      </c>
      <c r="H125" s="74">
        <f>IF(J125="SI",IFERROR(LOOKUP(E125,CODIGOS!A:A,CODIGOS!C:C)," "),IFERROR(LOOKUP(E125,CODIGOS!A:A,CODIGOS!D:D),""))</f>
        <v>55</v>
      </c>
      <c r="J125" s="35" t="str">
        <f>IFERROR(LOOKUP(D125,SOCIO!B:B,SOCIO!C:C)," ")</f>
        <v>SI</v>
      </c>
    </row>
    <row r="126" spans="1:10">
      <c r="A126" s="83">
        <f t="shared" si="1"/>
        <v>125</v>
      </c>
      <c r="B126" s="33">
        <v>46063</v>
      </c>
      <c r="C126" s="63">
        <f>IFERROR(LOOKUP(D126,SOCIO!B:B,SOCIO!A:A),"")</f>
        <v>2998</v>
      </c>
      <c r="D126" s="70" t="s">
        <v>1480</v>
      </c>
      <c r="E126" s="34">
        <v>18</v>
      </c>
      <c r="F126" s="67" t="str">
        <f>IFERROR(LOOKUP(E126,CODIGOS!A:A,CODIGOS!B:B)," ")</f>
        <v>COMIDA DE PATRONA</v>
      </c>
      <c r="H126" s="74">
        <v>55</v>
      </c>
      <c r="J126" s="73" t="s">
        <v>11</v>
      </c>
    </row>
    <row r="127" spans="1:10">
      <c r="A127" s="83">
        <f t="shared" si="1"/>
        <v>126</v>
      </c>
      <c r="B127" s="33">
        <v>46063</v>
      </c>
      <c r="C127" s="63">
        <f>IFERROR(LOOKUP(D127,SOCIO!B:B,SOCIO!A:A),"")</f>
        <v>2662</v>
      </c>
      <c r="D127" s="70" t="s">
        <v>1467</v>
      </c>
      <c r="E127" s="34">
        <v>18</v>
      </c>
      <c r="F127" s="67" t="str">
        <f>IFERROR(LOOKUP(E127,CODIGOS!A:A,CODIGOS!B:B)," ")</f>
        <v>COMIDA DE PATRONA</v>
      </c>
      <c r="H127" s="74">
        <v>55</v>
      </c>
      <c r="J127" s="73" t="s">
        <v>11</v>
      </c>
    </row>
    <row r="128" spans="1:10">
      <c r="A128" s="83">
        <f t="shared" si="1"/>
        <v>127</v>
      </c>
      <c r="B128" s="33">
        <v>46063</v>
      </c>
      <c r="C128" s="63">
        <f>IFERROR(LOOKUP(D128,SOCIO!B:B,SOCIO!A:A),"")</f>
        <v>2653</v>
      </c>
      <c r="D128" s="70" t="s">
        <v>1330</v>
      </c>
      <c r="E128" s="34">
        <v>18</v>
      </c>
      <c r="F128" s="67" t="str">
        <f>IFERROR(LOOKUP(E128,CODIGOS!A:A,CODIGOS!B:B)," ")</f>
        <v>COMIDA DE PATRONA</v>
      </c>
      <c r="H128" s="74">
        <f>IF(J128="SI",IFERROR(LOOKUP(E128,CODIGOS!A:A,CODIGOS!C:C)," "),IFERROR(LOOKUP(E128,CODIGOS!A:A,CODIGOS!D:D),""))</f>
        <v>55</v>
      </c>
      <c r="J128" s="35" t="str">
        <f>IFERROR(LOOKUP(D126,SOCIO!B:B,SOCIO!C:C)," ")</f>
        <v>SI</v>
      </c>
    </row>
    <row r="129" spans="1:10">
      <c r="A129" s="83">
        <f t="shared" si="1"/>
        <v>128</v>
      </c>
      <c r="B129" s="33">
        <v>46063</v>
      </c>
      <c r="C129" s="63">
        <f>IFERROR(LOOKUP(D129,SOCIO!B:B,SOCIO!A:A),"")</f>
        <v>3017</v>
      </c>
      <c r="D129" s="97" t="s">
        <v>1692</v>
      </c>
      <c r="E129" s="34">
        <v>18</v>
      </c>
      <c r="F129" s="67" t="str">
        <f>IFERROR(LOOKUP(E129,CODIGOS!A:A,CODIGOS!B:B)," ")</f>
        <v>COMIDA DE PATRONA</v>
      </c>
      <c r="H129" s="74">
        <f>IF(J129="SI",IFERROR(LOOKUP(E129,CODIGOS!A:A,CODIGOS!C:C)," "),IFERROR(LOOKUP(E129,CODIGOS!A:A,CODIGOS!D:D),""))</f>
        <v>55</v>
      </c>
      <c r="J129" s="35" t="str">
        <f>IFERROR(LOOKUP(D127,SOCIO!B:B,SOCIO!C:C)," ")</f>
        <v>SI</v>
      </c>
    </row>
    <row r="130" spans="1:10">
      <c r="A130" s="83">
        <f t="shared" ref="A130:A193" si="2">IF(B130&lt;&gt;0,A129+1," ")</f>
        <v>129</v>
      </c>
      <c r="B130" s="33">
        <v>46063</v>
      </c>
      <c r="C130" s="96" t="s">
        <v>1684</v>
      </c>
      <c r="D130" s="97" t="s">
        <v>1635</v>
      </c>
      <c r="E130" s="34">
        <v>18</v>
      </c>
      <c r="F130" s="67" t="str">
        <f>IFERROR(LOOKUP(E130,CODIGOS!A:A,CODIGOS!B:B)," ")</f>
        <v>COMIDA DE PATRONA</v>
      </c>
      <c r="H130" s="74">
        <v>55</v>
      </c>
      <c r="J130" s="73" t="s">
        <v>20</v>
      </c>
    </row>
    <row r="131" spans="1:10">
      <c r="A131" s="83">
        <f t="shared" si="2"/>
        <v>130</v>
      </c>
      <c r="B131" s="33">
        <v>46063</v>
      </c>
      <c r="C131" s="96" t="s">
        <v>1684</v>
      </c>
      <c r="D131" s="97" t="s">
        <v>1693</v>
      </c>
      <c r="E131" s="34">
        <v>18</v>
      </c>
      <c r="F131" s="67" t="str">
        <f>IFERROR(LOOKUP(E131,CODIGOS!A:A,CODIGOS!B:B)," ")</f>
        <v>COMIDA DE PATRONA</v>
      </c>
      <c r="H131" s="74">
        <v>55</v>
      </c>
      <c r="J131" s="73" t="s">
        <v>20</v>
      </c>
    </row>
    <row r="132" spans="1:10">
      <c r="A132" s="83">
        <f t="shared" si="2"/>
        <v>131</v>
      </c>
      <c r="B132" s="33">
        <v>46063</v>
      </c>
      <c r="C132" s="63">
        <v>1971</v>
      </c>
      <c r="D132" s="97" t="s">
        <v>1694</v>
      </c>
      <c r="E132" s="34">
        <v>18</v>
      </c>
      <c r="F132" s="67" t="str">
        <f>IFERROR(LOOKUP(E132,CODIGOS!A:A,CODIGOS!B:B)," ")</f>
        <v>COMIDA DE PATRONA</v>
      </c>
      <c r="H132" s="74">
        <f>IF(J132="SI",IFERROR(LOOKUP(E132,CODIGOS!A:A,CODIGOS!C:C)," "),IFERROR(LOOKUP(E132,CODIGOS!A:A,CODIGOS!D:D),""))</f>
        <v>55</v>
      </c>
      <c r="J132" s="35" t="str">
        <f>IFERROR(LOOKUP(D132,SOCIO!B:B,SOCIO!C:C)," ")</f>
        <v>SI</v>
      </c>
    </row>
    <row r="133" spans="1:10">
      <c r="A133" s="83">
        <f t="shared" si="2"/>
        <v>132</v>
      </c>
      <c r="B133" s="33">
        <v>46063</v>
      </c>
      <c r="C133" s="63">
        <v>3070</v>
      </c>
      <c r="D133" s="97" t="s">
        <v>1695</v>
      </c>
      <c r="E133" s="34">
        <v>18</v>
      </c>
      <c r="F133" s="67" t="str">
        <f>IFERROR(LOOKUP(E133,CODIGOS!A:A,CODIGOS!B:B)," ")</f>
        <v>COMIDA DE PATRONA</v>
      </c>
      <c r="H133" s="74">
        <f>IF(J133="SI",IFERROR(LOOKUP(E133,CODIGOS!A:A,CODIGOS!C:C)," "),IFERROR(LOOKUP(E133,CODIGOS!A:A,CODIGOS!D:D),""))</f>
        <v>55</v>
      </c>
      <c r="J133" s="35" t="str">
        <f>IFERROR(LOOKUP(D133,SOCIO!B:B,SOCIO!C:C)," ")</f>
        <v>SI</v>
      </c>
    </row>
    <row r="134" spans="1:10">
      <c r="A134" s="83">
        <f t="shared" si="2"/>
        <v>133</v>
      </c>
      <c r="B134" s="33">
        <v>46064</v>
      </c>
      <c r="C134" s="63">
        <v>2537</v>
      </c>
      <c r="D134" s="97" t="s">
        <v>1696</v>
      </c>
      <c r="E134" s="34">
        <v>18</v>
      </c>
      <c r="F134" s="67" t="str">
        <f>IFERROR(LOOKUP(E134,CODIGOS!A:A,CODIGOS!B:B)," ")</f>
        <v>COMIDA DE PATRONA</v>
      </c>
      <c r="H134" s="74">
        <f>IF(J134="SI",IFERROR(LOOKUP(E134,CODIGOS!A:A,CODIGOS!C:C)," "),IFERROR(LOOKUP(E134,CODIGOS!A:A,CODIGOS!D:D),""))</f>
        <v>55</v>
      </c>
      <c r="J134" s="35" t="str">
        <f>IFERROR(LOOKUP(D134,SOCIO!B:B,SOCIO!C:C)," ")</f>
        <v>SI</v>
      </c>
    </row>
    <row r="135" spans="1:10">
      <c r="A135" s="83">
        <f t="shared" si="2"/>
        <v>134</v>
      </c>
      <c r="B135" s="33">
        <v>46064</v>
      </c>
      <c r="C135" s="96" t="s">
        <v>1697</v>
      </c>
      <c r="D135" s="97" t="s">
        <v>1698</v>
      </c>
      <c r="E135" s="34">
        <v>18</v>
      </c>
      <c r="F135" s="67" t="str">
        <f>IFERROR(LOOKUP(E135,CODIGOS!A:A,CODIGOS!B:B)," ")</f>
        <v>COMIDA DE PATRONA</v>
      </c>
      <c r="H135" s="74">
        <f>IF(J135="SI",IFERROR(LOOKUP(E135,CODIGOS!A:A,CODIGOS!C:C)," "),IFERROR(LOOKUP(E135,CODIGOS!A:A,CODIGOS!D:D),""))</f>
        <v>55</v>
      </c>
      <c r="J135" s="35" t="str">
        <f>IFERROR(LOOKUP(D135,SOCIO!B:B,SOCIO!C:C)," ")</f>
        <v>SI</v>
      </c>
    </row>
    <row r="136" spans="1:10">
      <c r="A136" s="83">
        <f t="shared" si="2"/>
        <v>135</v>
      </c>
      <c r="B136" s="33">
        <v>46064</v>
      </c>
      <c r="C136" s="63">
        <v>2642</v>
      </c>
      <c r="D136" s="97" t="s">
        <v>1699</v>
      </c>
      <c r="E136" s="34">
        <v>18</v>
      </c>
      <c r="F136" s="67" t="str">
        <f>IFERROR(LOOKUP(E136,CODIGOS!A:A,CODIGOS!B:B)," ")</f>
        <v>COMIDA DE PATRONA</v>
      </c>
      <c r="H136" s="74">
        <f>IF(J136="SI",IFERROR(LOOKUP(E136,CODIGOS!A:A,CODIGOS!C:C)," "),IFERROR(LOOKUP(E136,CODIGOS!A:A,CODIGOS!D:D),""))</f>
        <v>55</v>
      </c>
      <c r="J136" s="35" t="str">
        <f>IFERROR(LOOKUP(D136,SOCIO!B:B,SOCIO!C:C)," ")</f>
        <v>SI</v>
      </c>
    </row>
    <row r="137" spans="1:10">
      <c r="A137" s="83">
        <f t="shared" si="2"/>
        <v>136</v>
      </c>
      <c r="B137" s="33">
        <v>46064</v>
      </c>
      <c r="C137" s="63">
        <v>1928</v>
      </c>
      <c r="D137" s="97" t="s">
        <v>1160</v>
      </c>
      <c r="E137" s="34">
        <v>18</v>
      </c>
      <c r="F137" s="67" t="str">
        <f>IFERROR(LOOKUP(E137,CODIGOS!A:A,CODIGOS!B:B)," ")</f>
        <v>COMIDA DE PATRONA</v>
      </c>
      <c r="H137" s="74">
        <f>IF(J137="SI",IFERROR(LOOKUP(E137,CODIGOS!A:A,CODIGOS!C:C)," "),IFERROR(LOOKUP(E137,CODIGOS!A:A,CODIGOS!D:D),""))</f>
        <v>55</v>
      </c>
      <c r="J137" s="35" t="str">
        <f>IFERROR(LOOKUP(D137,SOCIO!B:B,SOCIO!C:C)," ")</f>
        <v>SI</v>
      </c>
    </row>
    <row r="138" spans="1:10">
      <c r="A138" s="83">
        <f t="shared" si="2"/>
        <v>137</v>
      </c>
      <c r="B138" s="33">
        <v>46064</v>
      </c>
      <c r="C138" s="63">
        <v>1945</v>
      </c>
      <c r="D138" s="97" t="s">
        <v>1700</v>
      </c>
      <c r="E138" s="34">
        <v>18</v>
      </c>
      <c r="F138" s="67" t="str">
        <f>IFERROR(LOOKUP(E138,CODIGOS!A:A,CODIGOS!B:B)," ")</f>
        <v>COMIDA DE PATRONA</v>
      </c>
      <c r="H138" s="74">
        <f>IF(J138="SI",IFERROR(LOOKUP(E138,CODIGOS!A:A,CODIGOS!C:C)," "),IFERROR(LOOKUP(E138,CODIGOS!A:A,CODIGOS!D:D),""))</f>
        <v>55</v>
      </c>
      <c r="J138" s="35" t="str">
        <f>IFERROR(LOOKUP(D138,SOCIO!B:B,SOCIO!C:C)," ")</f>
        <v>SI</v>
      </c>
    </row>
    <row r="139" spans="1:10">
      <c r="A139" s="83">
        <f t="shared" si="2"/>
        <v>138</v>
      </c>
      <c r="B139" s="33">
        <v>46064</v>
      </c>
      <c r="C139" s="63">
        <v>2414</v>
      </c>
      <c r="D139" s="97" t="s">
        <v>1208</v>
      </c>
      <c r="E139" s="34">
        <v>18</v>
      </c>
      <c r="F139" s="67" t="str">
        <f>IFERROR(LOOKUP(E139,CODIGOS!A:A,CODIGOS!B:B)," ")</f>
        <v>COMIDA DE PATRONA</v>
      </c>
      <c r="H139" s="74">
        <f>IF(J139="SI",IFERROR(LOOKUP(E139,CODIGOS!A:A,CODIGOS!C:C)," "),IFERROR(LOOKUP(E139,CODIGOS!A:A,CODIGOS!D:D),""))</f>
        <v>55</v>
      </c>
      <c r="J139" s="35" t="str">
        <f>IFERROR(LOOKUP(D139,SOCIO!B:B,SOCIO!C:C)," ")</f>
        <v>SI</v>
      </c>
    </row>
    <row r="140" spans="1:10">
      <c r="A140" s="83">
        <f t="shared" si="2"/>
        <v>139</v>
      </c>
      <c r="B140" s="33">
        <v>46064</v>
      </c>
      <c r="C140" s="63">
        <v>2556</v>
      </c>
      <c r="D140" s="97" t="s">
        <v>1414</v>
      </c>
      <c r="E140" s="34">
        <v>16</v>
      </c>
      <c r="F140" s="67" t="str">
        <f>IFERROR(LOOKUP(E140,CODIGOS!A:A,CODIGOS!B:B)," ")</f>
        <v>LA CARTUJA</v>
      </c>
      <c r="H140" s="74">
        <v>14</v>
      </c>
      <c r="J140" s="35" t="str">
        <f>IFERROR(LOOKUP(D140,SOCIO!B:B,SOCIO!C:C)," ")</f>
        <v>SI</v>
      </c>
    </row>
    <row r="141" spans="1:10">
      <c r="A141" s="83">
        <f t="shared" si="2"/>
        <v>140</v>
      </c>
      <c r="B141" s="33">
        <v>46064</v>
      </c>
      <c r="C141" s="63">
        <v>2556</v>
      </c>
      <c r="D141" s="97" t="s">
        <v>1414</v>
      </c>
      <c r="E141" s="34">
        <v>19</v>
      </c>
      <c r="F141" s="67" t="str">
        <f>IFERROR(LOOKUP(E141,CODIGOS!A:A,CODIGOS!B:B)," ")</f>
        <v>VISITA MOTRIL</v>
      </c>
      <c r="H141" s="74">
        <f>IF(J141="SI",IFERROR(LOOKUP(E141,CODIGOS!A:A,CODIGOS!C:C)," "),IFERROR(LOOKUP(E141,CODIGOS!A:A,CODIGOS!D:D),""))</f>
        <v>15</v>
      </c>
      <c r="J141" s="35" t="str">
        <f>IFERROR(LOOKUP(D141,SOCIO!B:B,SOCIO!C:C)," ")</f>
        <v>SI</v>
      </c>
    </row>
    <row r="142" spans="1:10">
      <c r="A142" s="83">
        <f t="shared" si="2"/>
        <v>141</v>
      </c>
      <c r="B142" s="33">
        <v>46064</v>
      </c>
      <c r="C142" s="63">
        <v>2414</v>
      </c>
      <c r="D142" s="97" t="s">
        <v>1208</v>
      </c>
      <c r="E142" s="34">
        <v>19</v>
      </c>
      <c r="F142" s="67" t="str">
        <f>IFERROR(LOOKUP(E142,CODIGOS!A:A,CODIGOS!B:B)," ")</f>
        <v>VISITA MOTRIL</v>
      </c>
      <c r="H142" s="74">
        <f>IF(J142="SI",IFERROR(LOOKUP(E142,CODIGOS!A:A,CODIGOS!C:C)," "),IFERROR(LOOKUP(E142,CODIGOS!A:A,CODIGOS!D:D),""))</f>
        <v>15</v>
      </c>
      <c r="J142" s="35" t="str">
        <f>IFERROR(LOOKUP(D142,SOCIO!B:B,SOCIO!C:C)," ")</f>
        <v>SI</v>
      </c>
    </row>
    <row r="143" spans="1:10">
      <c r="A143" s="83">
        <f t="shared" si="2"/>
        <v>142</v>
      </c>
      <c r="B143" s="33">
        <v>46069</v>
      </c>
      <c r="C143" s="96" t="s">
        <v>1701</v>
      </c>
      <c r="D143" s="97" t="s">
        <v>1702</v>
      </c>
      <c r="E143" s="34">
        <v>20</v>
      </c>
      <c r="F143" s="67" t="str">
        <f>IFERROR(LOOKUP(E143,CODIGOS!A:A,CODIGOS!B:B)," ")</f>
        <v>VISITA A FONELAS</v>
      </c>
      <c r="H143" s="74">
        <v>25</v>
      </c>
      <c r="J143" s="73" t="s">
        <v>20</v>
      </c>
    </row>
    <row r="144" spans="1:10">
      <c r="A144" s="83">
        <f t="shared" si="2"/>
        <v>143</v>
      </c>
      <c r="B144" s="33">
        <v>46069</v>
      </c>
      <c r="C144" s="63">
        <f>IFERROR(LOOKUP(D144,SOCIO!B:B,SOCIO!A:A),"")</f>
        <v>1901</v>
      </c>
      <c r="D144" s="70" t="s">
        <v>1301</v>
      </c>
      <c r="E144" s="34">
        <v>20</v>
      </c>
      <c r="F144" s="67" t="str">
        <f>IFERROR(LOOKUP(E144,CODIGOS!A:A,CODIGOS!B:B)," ")</f>
        <v>VISITA A FONELAS</v>
      </c>
      <c r="H144" s="74">
        <f>IF(J144="SI",IFERROR(LOOKUP(E144,CODIGOS!A:A,CODIGOS!C:C)," "),IFERROR(LOOKUP(E144,CODIGOS!A:A,CODIGOS!D:D),""))</f>
        <v>20</v>
      </c>
      <c r="J144" s="35" t="str">
        <f>IFERROR(LOOKUP(D144,SOCIO!B:B,SOCIO!C:C)," ")</f>
        <v>SI</v>
      </c>
    </row>
    <row r="145" spans="1:10">
      <c r="A145" s="83">
        <f t="shared" si="2"/>
        <v>144</v>
      </c>
      <c r="B145" s="33">
        <v>46069</v>
      </c>
      <c r="C145" s="63">
        <f>IFERROR(LOOKUP(D145,SOCIO!B:B,SOCIO!A:A),"")</f>
        <v>949</v>
      </c>
      <c r="D145" s="70" t="s">
        <v>1135</v>
      </c>
      <c r="E145" s="34">
        <v>20</v>
      </c>
      <c r="F145" s="67" t="str">
        <f>IFERROR(LOOKUP(E145,CODIGOS!A:A,CODIGOS!B:B)," ")</f>
        <v>VISITA A FONELAS</v>
      </c>
      <c r="H145" s="74">
        <f>IF(J145="SI",IFERROR(LOOKUP(E145,CODIGOS!A:A,CODIGOS!C:C)," "),IFERROR(LOOKUP(E145,CODIGOS!A:A,CODIGOS!D:D),""))</f>
        <v>20</v>
      </c>
      <c r="J145" s="35" t="str">
        <f>IFERROR(LOOKUP(D145,SOCIO!B:B,SOCIO!C:C)," ")</f>
        <v>SI</v>
      </c>
    </row>
    <row r="146" spans="1:10">
      <c r="A146" s="83">
        <f t="shared" si="2"/>
        <v>145</v>
      </c>
      <c r="B146" s="33">
        <v>46069</v>
      </c>
      <c r="C146" s="63">
        <f>IFERROR(LOOKUP(D146,SOCIO!B:B,SOCIO!A:A),"")</f>
        <v>2019</v>
      </c>
      <c r="D146" s="70" t="s">
        <v>1303</v>
      </c>
      <c r="E146" s="34">
        <v>20</v>
      </c>
      <c r="F146" s="67" t="str">
        <f>IFERROR(LOOKUP(E146,CODIGOS!A:A,CODIGOS!B:B)," ")</f>
        <v>VISITA A FONELAS</v>
      </c>
      <c r="H146" s="74">
        <f>IF(J146="SI",IFERROR(LOOKUP(E146,CODIGOS!A:A,CODIGOS!C:C)," "),IFERROR(LOOKUP(E146,CODIGOS!A:A,CODIGOS!D:D),""))</f>
        <v>20</v>
      </c>
      <c r="J146" s="35" t="str">
        <f>IFERROR(LOOKUP(D146,SOCIO!B:B,SOCIO!C:C)," ")</f>
        <v>SI</v>
      </c>
    </row>
    <row r="147" spans="1:10">
      <c r="A147" s="83">
        <f t="shared" si="2"/>
        <v>146</v>
      </c>
      <c r="B147" s="33">
        <v>46069</v>
      </c>
      <c r="C147" s="63">
        <f>IFERROR(LOOKUP(D147,SOCIO!B:B,SOCIO!A:A),"")</f>
        <v>2653</v>
      </c>
      <c r="D147" s="70" t="s">
        <v>1330</v>
      </c>
      <c r="E147" s="34">
        <v>20</v>
      </c>
      <c r="F147" s="67" t="str">
        <f>IFERROR(LOOKUP(E147,CODIGOS!A:A,CODIGOS!B:B)," ")</f>
        <v>VISITA A FONELAS</v>
      </c>
      <c r="H147" s="74">
        <f>IF(J147="SI",IFERROR(LOOKUP(E147,CODIGOS!A:A,CODIGOS!C:C)," "),IFERROR(LOOKUP(E147,CODIGOS!A:A,CODIGOS!D:D),""))</f>
        <v>20</v>
      </c>
      <c r="J147" s="35" t="str">
        <f>IFERROR(LOOKUP(D147,SOCIO!B:B,SOCIO!C:C)," ")</f>
        <v>SI</v>
      </c>
    </row>
    <row r="148" spans="1:10">
      <c r="A148" s="83">
        <f t="shared" si="2"/>
        <v>147</v>
      </c>
      <c r="B148" s="33">
        <v>46069</v>
      </c>
      <c r="C148" s="63">
        <f>IFERROR(LOOKUP(D148,SOCIO!B:B,SOCIO!A:A),"")</f>
        <v>2670</v>
      </c>
      <c r="D148" s="70" t="s">
        <v>1321</v>
      </c>
      <c r="E148" s="34">
        <v>20</v>
      </c>
      <c r="F148" s="67" t="str">
        <f>IFERROR(LOOKUP(E148,CODIGOS!A:A,CODIGOS!B:B)," ")</f>
        <v>VISITA A FONELAS</v>
      </c>
      <c r="H148" s="74">
        <f>IF(J148="SI",IFERROR(LOOKUP(E148,CODIGOS!A:A,CODIGOS!C:C)," "),IFERROR(LOOKUP(E148,CODIGOS!A:A,CODIGOS!D:D),""))</f>
        <v>20</v>
      </c>
      <c r="J148" s="35" t="str">
        <f>IFERROR(LOOKUP(D148,SOCIO!B:B,SOCIO!C:C)," ")</f>
        <v>SI</v>
      </c>
    </row>
    <row r="149" spans="1:10">
      <c r="A149" s="83">
        <f t="shared" si="2"/>
        <v>148</v>
      </c>
      <c r="B149" s="33">
        <v>46069</v>
      </c>
      <c r="C149" s="96" t="s">
        <v>926</v>
      </c>
      <c r="D149" s="70" t="s">
        <v>1703</v>
      </c>
      <c r="E149" s="34">
        <v>20</v>
      </c>
      <c r="F149" s="67" t="str">
        <f>IFERROR(LOOKUP(E149,CODIGOS!A:A,CODIGOS!B:B)," ")</f>
        <v>VISITA A FONELAS</v>
      </c>
      <c r="H149" s="74">
        <v>25</v>
      </c>
      <c r="J149" s="73" t="s">
        <v>20</v>
      </c>
    </row>
    <row r="150" spans="1:10">
      <c r="A150" s="83">
        <f t="shared" si="2"/>
        <v>149</v>
      </c>
      <c r="B150" s="33">
        <v>46069</v>
      </c>
      <c r="C150" s="63">
        <f>IFERROR(LOOKUP(D150,SOCIO!B:B,SOCIO!A:A),"")</f>
        <v>3071</v>
      </c>
      <c r="D150" s="70" t="s">
        <v>1531</v>
      </c>
      <c r="E150" s="34">
        <v>20</v>
      </c>
      <c r="F150" s="67" t="str">
        <f>IFERROR(LOOKUP(E150,CODIGOS!A:A,CODIGOS!B:B)," ")</f>
        <v>VISITA A FONELAS</v>
      </c>
      <c r="H150" s="74">
        <f>IF(J150="SI",IFERROR(LOOKUP(E150,CODIGOS!A:A,CODIGOS!C:C)," "),IFERROR(LOOKUP(E150,CODIGOS!A:A,CODIGOS!D:D),""))</f>
        <v>20</v>
      </c>
      <c r="J150" s="35" t="str">
        <f>IFERROR(LOOKUP(D150,SOCIO!B:B,SOCIO!C:C)," ")</f>
        <v>SI</v>
      </c>
    </row>
    <row r="151" spans="1:10">
      <c r="A151" s="83">
        <f t="shared" si="2"/>
        <v>150</v>
      </c>
      <c r="B151" s="33">
        <v>46069</v>
      </c>
      <c r="C151" s="63">
        <f>IFERROR(LOOKUP(D151,SOCIO!B:B,SOCIO!A:A),"")</f>
        <v>2709</v>
      </c>
      <c r="D151" s="70" t="s">
        <v>1295</v>
      </c>
      <c r="E151" s="34">
        <v>19</v>
      </c>
      <c r="F151" s="67" t="str">
        <f>IFERROR(LOOKUP(E151,CODIGOS!A:A,CODIGOS!B:B)," ")</f>
        <v>VISITA MOTRIL</v>
      </c>
      <c r="H151" s="74">
        <f>IF(J151="SI",IFERROR(LOOKUP(E151,CODIGOS!A:A,CODIGOS!C:C)," "),IFERROR(LOOKUP(E151,CODIGOS!A:A,CODIGOS!D:D),""))</f>
        <v>15</v>
      </c>
      <c r="J151" s="35" t="str">
        <f>IFERROR(LOOKUP(D151,SOCIO!B:B,SOCIO!C:C)," ")</f>
        <v>SI</v>
      </c>
    </row>
    <row r="152" spans="1:10">
      <c r="A152" s="83">
        <f t="shared" si="2"/>
        <v>151</v>
      </c>
      <c r="B152" s="33">
        <v>46069</v>
      </c>
      <c r="C152" s="63">
        <f>IFERROR(LOOKUP(D152,SOCIO!B:B,SOCIO!A:A),"")</f>
        <v>2710</v>
      </c>
      <c r="D152" s="70" t="s">
        <v>1417</v>
      </c>
      <c r="E152" s="34">
        <v>19</v>
      </c>
      <c r="F152" s="67" t="str">
        <f>IFERROR(LOOKUP(E152,CODIGOS!A:A,CODIGOS!B:B)," ")</f>
        <v>VISITA MOTRIL</v>
      </c>
      <c r="H152" s="74">
        <f>IF(J152="SI",IFERROR(LOOKUP(E152,CODIGOS!A:A,CODIGOS!C:C)," "),IFERROR(LOOKUP(E152,CODIGOS!A:A,CODIGOS!D:D),""))</f>
        <v>15</v>
      </c>
      <c r="J152" s="35" t="str">
        <f>IFERROR(LOOKUP(D152,SOCIO!B:B,SOCIO!C:C)," ")</f>
        <v>SI</v>
      </c>
    </row>
    <row r="153" spans="1:10">
      <c r="A153" s="83">
        <f t="shared" si="2"/>
        <v>152</v>
      </c>
      <c r="B153" s="33">
        <v>46069</v>
      </c>
      <c r="C153" s="63">
        <f>IFERROR(LOOKUP(D153,SOCIO!B:B,SOCIO!A:A),"")</f>
        <v>2456</v>
      </c>
      <c r="D153" s="70" t="s">
        <v>1414</v>
      </c>
      <c r="E153" s="34">
        <v>20</v>
      </c>
      <c r="F153" s="67" t="str">
        <f>IFERROR(LOOKUP(E153,CODIGOS!A:A,CODIGOS!B:B)," ")</f>
        <v>VISITA A FONELAS</v>
      </c>
      <c r="H153" s="74">
        <f>IF(J153="SI",IFERROR(LOOKUP(E153,CODIGOS!A:A,CODIGOS!C:C)," "),IFERROR(LOOKUP(E153,CODIGOS!A:A,CODIGOS!D:D),""))</f>
        <v>20</v>
      </c>
      <c r="J153" s="35" t="str">
        <f>IFERROR(LOOKUP(D153,SOCIO!B:B,SOCIO!C:C)," ")</f>
        <v>SI</v>
      </c>
    </row>
    <row r="154" spans="1:10">
      <c r="A154" s="83">
        <f t="shared" si="2"/>
        <v>153</v>
      </c>
      <c r="B154" s="33">
        <v>46069</v>
      </c>
      <c r="C154" s="63">
        <f>IFERROR(LOOKUP(D154,SOCIO!B:B,SOCIO!A:A),"")</f>
        <v>2414</v>
      </c>
      <c r="D154" s="70" t="s">
        <v>1208</v>
      </c>
      <c r="E154" s="34">
        <v>20</v>
      </c>
      <c r="F154" s="67" t="str">
        <f>IFERROR(LOOKUP(E154,CODIGOS!A:A,CODIGOS!B:B)," ")</f>
        <v>VISITA A FONELAS</v>
      </c>
      <c r="H154" s="74">
        <f>IF(J154="SI",IFERROR(LOOKUP(E154,CODIGOS!A:A,CODIGOS!C:C)," "),IFERROR(LOOKUP(E154,CODIGOS!A:A,CODIGOS!D:D),""))</f>
        <v>20</v>
      </c>
      <c r="J154" s="35" t="str">
        <f>IFERROR(LOOKUP(D154,SOCIO!B:B,SOCIO!C:C)," ")</f>
        <v>SI</v>
      </c>
    </row>
    <row r="155" spans="1:10">
      <c r="A155" s="83">
        <f t="shared" si="2"/>
        <v>154</v>
      </c>
      <c r="B155" s="33">
        <v>46069</v>
      </c>
      <c r="C155" s="63">
        <f>IFERROR(LOOKUP(D155,SOCIO!B:B,SOCIO!A:A),"")</f>
        <v>2823</v>
      </c>
      <c r="D155" s="70" t="s">
        <v>1092</v>
      </c>
      <c r="E155" s="34">
        <v>20</v>
      </c>
      <c r="F155" s="67" t="str">
        <f>IFERROR(LOOKUP(E155,CODIGOS!A:A,CODIGOS!B:B)," ")</f>
        <v>VISITA A FONELAS</v>
      </c>
      <c r="H155" s="74">
        <f>IF(J155="SI",IFERROR(LOOKUP(E155,CODIGOS!A:A,CODIGOS!C:C)," "),IFERROR(LOOKUP(E155,CODIGOS!A:A,CODIGOS!D:D),""))</f>
        <v>20</v>
      </c>
      <c r="J155" s="35" t="str">
        <f>IFERROR(LOOKUP(D155,SOCIO!B:B,SOCIO!C:C)," ")</f>
        <v>SI</v>
      </c>
    </row>
    <row r="156" spans="1:10">
      <c r="A156" s="83">
        <f t="shared" si="2"/>
        <v>155</v>
      </c>
      <c r="B156" s="33">
        <v>46069</v>
      </c>
      <c r="C156" s="63">
        <f>IFERROR(LOOKUP(D156,SOCIO!B:B,SOCIO!A:A),"")</f>
        <v>2596</v>
      </c>
      <c r="D156" s="70" t="s">
        <v>1323</v>
      </c>
      <c r="E156" s="34">
        <v>18</v>
      </c>
      <c r="F156" s="67" t="str">
        <f>IFERROR(LOOKUP(E156,CODIGOS!A:A,CODIGOS!B:B)," ")</f>
        <v>COMIDA DE PATRONA</v>
      </c>
      <c r="H156" s="74">
        <f>IF(J156="SI",IFERROR(LOOKUP(E156,CODIGOS!A:A,CODIGOS!C:C)," "),IFERROR(LOOKUP(E156,CODIGOS!A:A,CODIGOS!D:D),""))</f>
        <v>55</v>
      </c>
      <c r="J156" s="35" t="str">
        <f>IFERROR(LOOKUP(D156,SOCIO!B:B,SOCIO!C:C)," ")</f>
        <v>SI</v>
      </c>
    </row>
    <row r="157" spans="1:10">
      <c r="A157" s="83">
        <f t="shared" si="2"/>
        <v>156</v>
      </c>
      <c r="B157" s="33">
        <v>46069</v>
      </c>
      <c r="C157" s="63">
        <f>IFERROR(LOOKUP(D157,SOCIO!B:B,SOCIO!A:A),"")</f>
        <v>2746</v>
      </c>
      <c r="D157" s="70" t="s">
        <v>1187</v>
      </c>
      <c r="E157" s="34">
        <v>18</v>
      </c>
      <c r="F157" s="67" t="str">
        <f>IFERROR(LOOKUP(E157,CODIGOS!A:A,CODIGOS!B:B)," ")</f>
        <v>COMIDA DE PATRONA</v>
      </c>
      <c r="H157" s="74">
        <f>IF(J157="SI",IFERROR(LOOKUP(E157,CODIGOS!A:A,CODIGOS!C:C)," "),IFERROR(LOOKUP(E157,CODIGOS!A:A,CODIGOS!D:D),""))</f>
        <v>55</v>
      </c>
      <c r="J157" s="35" t="str">
        <f>IFERROR(LOOKUP(D157,SOCIO!B:B,SOCIO!C:C)," ")</f>
        <v>SI</v>
      </c>
    </row>
    <row r="158" spans="1:10">
      <c r="A158" s="83">
        <f t="shared" si="2"/>
        <v>157</v>
      </c>
      <c r="B158" s="33">
        <v>46069</v>
      </c>
      <c r="C158" s="63">
        <f>IFERROR(LOOKUP(D158,SOCIO!B:B,SOCIO!A:A),"")</f>
        <v>2500</v>
      </c>
      <c r="D158" s="70" t="s">
        <v>1239</v>
      </c>
      <c r="E158" s="34">
        <v>18</v>
      </c>
      <c r="F158" s="67" t="str">
        <f>IFERROR(LOOKUP(E158,CODIGOS!A:A,CODIGOS!B:B)," ")</f>
        <v>COMIDA DE PATRONA</v>
      </c>
      <c r="H158" s="74">
        <f>IF(J158="SI",IFERROR(LOOKUP(E158,CODIGOS!A:A,CODIGOS!C:C)," "),IFERROR(LOOKUP(E158,CODIGOS!A:A,CODIGOS!D:D),""))</f>
        <v>55</v>
      </c>
      <c r="J158" s="35" t="str">
        <f>IFERROR(LOOKUP(D158,SOCIO!B:B,SOCIO!C:C)," ")</f>
        <v>SI</v>
      </c>
    </row>
    <row r="159" spans="1:10">
      <c r="A159" s="83">
        <f t="shared" si="2"/>
        <v>158</v>
      </c>
      <c r="B159" s="33">
        <v>46069</v>
      </c>
      <c r="C159" s="63">
        <f>IFERROR(LOOKUP(D159,SOCIO!B:B,SOCIO!A:A),"")</f>
        <v>2709</v>
      </c>
      <c r="D159" s="70" t="s">
        <v>1295</v>
      </c>
      <c r="E159" s="34">
        <v>18</v>
      </c>
      <c r="F159" s="67" t="str">
        <f>IFERROR(LOOKUP(E159,CODIGOS!A:A,CODIGOS!B:B)," ")</f>
        <v>COMIDA DE PATRONA</v>
      </c>
      <c r="H159" s="74">
        <f>IF(J159="SI",IFERROR(LOOKUP(E159,CODIGOS!A:A,CODIGOS!C:C)," "),IFERROR(LOOKUP(E159,CODIGOS!A:A,CODIGOS!D:D),""))</f>
        <v>55</v>
      </c>
      <c r="J159" s="35" t="str">
        <f>IFERROR(LOOKUP(D159,SOCIO!B:B,SOCIO!C:C)," ")</f>
        <v>SI</v>
      </c>
    </row>
    <row r="160" spans="1:10">
      <c r="A160" s="83">
        <f t="shared" si="2"/>
        <v>159</v>
      </c>
      <c r="B160" s="33">
        <v>46069</v>
      </c>
      <c r="C160" s="63">
        <f>IFERROR(LOOKUP(D160,SOCIO!B:B,SOCIO!A:A),"")</f>
        <v>2710</v>
      </c>
      <c r="D160" s="70" t="s">
        <v>1417</v>
      </c>
      <c r="E160" s="34">
        <v>18</v>
      </c>
      <c r="F160" s="67" t="str">
        <f>IFERROR(LOOKUP(E160,CODIGOS!A:A,CODIGOS!B:B)," ")</f>
        <v>COMIDA DE PATRONA</v>
      </c>
      <c r="H160" s="74">
        <f>IF(J160="SI",IFERROR(LOOKUP(E160,CODIGOS!A:A,CODIGOS!C:C)," "),IFERROR(LOOKUP(E160,CODIGOS!A:A,CODIGOS!D:D),""))</f>
        <v>55</v>
      </c>
      <c r="J160" s="35" t="str">
        <f>IFERROR(LOOKUP(D160,SOCIO!B:B,SOCIO!C:C)," ")</f>
        <v>SI</v>
      </c>
    </row>
    <row r="161" spans="1:10">
      <c r="A161" s="83">
        <f t="shared" si="2"/>
        <v>160</v>
      </c>
      <c r="B161" s="33">
        <v>46069</v>
      </c>
      <c r="C161" s="63">
        <f>IFERROR(LOOKUP(D161,SOCIO!B:B,SOCIO!A:A),"")</f>
        <v>2511</v>
      </c>
      <c r="D161" s="70" t="s">
        <v>1179</v>
      </c>
      <c r="E161" s="34">
        <v>18</v>
      </c>
      <c r="F161" s="67" t="str">
        <f>IFERROR(LOOKUP(E161,CODIGOS!A:A,CODIGOS!B:B)," ")</f>
        <v>COMIDA DE PATRONA</v>
      </c>
      <c r="H161" s="74">
        <f>IF(J161="SI",IFERROR(LOOKUP(E161,CODIGOS!A:A,CODIGOS!C:C)," "),IFERROR(LOOKUP(E161,CODIGOS!A:A,CODIGOS!D:D),""))</f>
        <v>55</v>
      </c>
      <c r="J161" s="35" t="str">
        <f>IFERROR(LOOKUP(D161,SOCIO!B:B,SOCIO!C:C)," ")</f>
        <v>SI</v>
      </c>
    </row>
    <row r="162" spans="1:10">
      <c r="A162" s="83">
        <f t="shared" si="2"/>
        <v>161</v>
      </c>
      <c r="B162" s="33">
        <v>46069</v>
      </c>
      <c r="C162" s="63">
        <f>IFERROR(LOOKUP(D162,SOCIO!B:B,SOCIO!A:A),"")</f>
        <v>1251</v>
      </c>
      <c r="D162" s="70" t="s">
        <v>1291</v>
      </c>
      <c r="E162" s="34">
        <v>18</v>
      </c>
      <c r="F162" s="67" t="str">
        <f>IFERROR(LOOKUP(E162,CODIGOS!A:A,CODIGOS!B:B)," ")</f>
        <v>COMIDA DE PATRONA</v>
      </c>
      <c r="H162" s="74">
        <f>IF(J162="SI",IFERROR(LOOKUP(E162,CODIGOS!A:A,CODIGOS!C:C)," "),IFERROR(LOOKUP(E162,CODIGOS!A:A,CODIGOS!D:D),""))</f>
        <v>55</v>
      </c>
      <c r="J162" s="35" t="str">
        <f>IFERROR(LOOKUP(D162,SOCIO!B:B,SOCIO!C:C)," ")</f>
        <v>SI</v>
      </c>
    </row>
    <row r="163" spans="1:10">
      <c r="A163" s="83">
        <f t="shared" si="2"/>
        <v>162</v>
      </c>
      <c r="B163" s="33">
        <v>46069</v>
      </c>
      <c r="C163" s="63">
        <f>IFERROR(LOOKUP(D163,SOCIO!B:B,SOCIO!A:A),"")</f>
        <v>810</v>
      </c>
      <c r="D163" s="70" t="s">
        <v>1229</v>
      </c>
      <c r="E163" s="34">
        <v>18</v>
      </c>
      <c r="F163" s="67" t="str">
        <f>IFERROR(LOOKUP(E163,CODIGOS!A:A,CODIGOS!B:B)," ")</f>
        <v>COMIDA DE PATRONA</v>
      </c>
      <c r="H163" s="74">
        <f>IF(J163="SI",IFERROR(LOOKUP(E163,CODIGOS!A:A,CODIGOS!C:C)," "),IFERROR(LOOKUP(E163,CODIGOS!A:A,CODIGOS!D:D),""))</f>
        <v>55</v>
      </c>
      <c r="J163" s="35" t="str">
        <f>IFERROR(LOOKUP(D163,SOCIO!B:B,SOCIO!C:C)," ")</f>
        <v>SI</v>
      </c>
    </row>
    <row r="164" spans="1:10">
      <c r="A164" s="83">
        <f t="shared" si="2"/>
        <v>163</v>
      </c>
      <c r="B164" s="33">
        <v>46069</v>
      </c>
      <c r="C164" s="63">
        <f>IFERROR(LOOKUP(D164,SOCIO!B:B,SOCIO!A:A),"")</f>
        <v>1982</v>
      </c>
      <c r="D164" s="70" t="s">
        <v>1219</v>
      </c>
      <c r="E164" s="34">
        <v>18</v>
      </c>
      <c r="F164" s="67" t="str">
        <f>IFERROR(LOOKUP(E164,CODIGOS!A:A,CODIGOS!B:B)," ")</f>
        <v>COMIDA DE PATRONA</v>
      </c>
      <c r="H164" s="74">
        <f>IF(J164="SI",IFERROR(LOOKUP(E164,CODIGOS!A:A,CODIGOS!C:C)," "),IFERROR(LOOKUP(E164,CODIGOS!A:A,CODIGOS!D:D),""))</f>
        <v>55</v>
      </c>
      <c r="J164" s="35" t="str">
        <f>IFERROR(LOOKUP(D164,SOCIO!B:B,SOCIO!C:C)," ")</f>
        <v>SI</v>
      </c>
    </row>
    <row r="165" spans="1:10">
      <c r="A165" s="83">
        <f t="shared" si="2"/>
        <v>164</v>
      </c>
      <c r="B165" s="33">
        <v>46069</v>
      </c>
      <c r="C165" s="63">
        <f>IFERROR(LOOKUP(D165,SOCIO!B:B,SOCIO!A:A),"")</f>
        <v>2764</v>
      </c>
      <c r="D165" s="70" t="s">
        <v>1475</v>
      </c>
      <c r="E165" s="34">
        <v>18</v>
      </c>
      <c r="F165" s="67" t="str">
        <f>IFERROR(LOOKUP(E165,CODIGOS!A:A,CODIGOS!B:B)," ")</f>
        <v>COMIDA DE PATRONA</v>
      </c>
      <c r="H165" s="74">
        <f>IF(J165="SI",IFERROR(LOOKUP(E165,CODIGOS!A:A,CODIGOS!C:C)," "),IFERROR(LOOKUP(E165,CODIGOS!A:A,CODIGOS!D:D),""))</f>
        <v>55</v>
      </c>
      <c r="J165" s="35" t="str">
        <f>IFERROR(LOOKUP(D165,SOCIO!B:B,SOCIO!C:C)," ")</f>
        <v>SI</v>
      </c>
    </row>
    <row r="166" spans="1:10">
      <c r="A166" s="83">
        <f t="shared" si="2"/>
        <v>165</v>
      </c>
      <c r="B166" s="33">
        <v>46069</v>
      </c>
      <c r="C166" s="63">
        <f>IFERROR(LOOKUP(D166,SOCIO!B:B,SOCIO!A:A),"")</f>
        <v>2756</v>
      </c>
      <c r="D166" s="70" t="s">
        <v>1248</v>
      </c>
      <c r="E166" s="34">
        <v>18</v>
      </c>
      <c r="F166" s="67" t="str">
        <f>IFERROR(LOOKUP(E166,CODIGOS!A:A,CODIGOS!B:B)," ")</f>
        <v>COMIDA DE PATRONA</v>
      </c>
      <c r="H166" s="74">
        <f>IF(J166="SI",IFERROR(LOOKUP(E166,CODIGOS!A:A,CODIGOS!C:C)," "),IFERROR(LOOKUP(E166,CODIGOS!A:A,CODIGOS!D:D),""))</f>
        <v>55</v>
      </c>
      <c r="J166" s="35" t="str">
        <f>IFERROR(LOOKUP(D166,SOCIO!B:B,SOCIO!C:C)," ")</f>
        <v>SI</v>
      </c>
    </row>
    <row r="167" spans="1:10">
      <c r="A167" s="83">
        <f t="shared" si="2"/>
        <v>166</v>
      </c>
      <c r="B167" s="33">
        <v>46069</v>
      </c>
      <c r="C167" s="96" t="s">
        <v>1705</v>
      </c>
      <c r="D167" s="97" t="s">
        <v>1704</v>
      </c>
      <c r="E167" s="34">
        <v>18</v>
      </c>
      <c r="F167" s="67" t="str">
        <f>IFERROR(LOOKUP(E167,CODIGOS!A:A,CODIGOS!B:B)," ")</f>
        <v>COMIDA DE PATRONA</v>
      </c>
      <c r="H167" s="74">
        <f>IF(J167="SI",IFERROR(LOOKUP(E167,CODIGOS!A:A,CODIGOS!C:C)," "),IFERROR(LOOKUP(E167,CODIGOS!A:A,CODIGOS!D:D),""))</f>
        <v>55</v>
      </c>
      <c r="J167" s="35" t="str">
        <f>IFERROR(LOOKUP(D167,SOCIO!B:B,SOCIO!C:C)," ")</f>
        <v>SI</v>
      </c>
    </row>
    <row r="168" spans="1:10">
      <c r="A168" s="83">
        <f t="shared" si="2"/>
        <v>167</v>
      </c>
      <c r="B168" s="33">
        <v>46069</v>
      </c>
      <c r="C168" s="63">
        <v>2755</v>
      </c>
      <c r="D168" s="97" t="s">
        <v>1647</v>
      </c>
      <c r="E168" s="34">
        <v>18</v>
      </c>
      <c r="F168" s="67" t="str">
        <f>IFERROR(LOOKUP(E168,CODIGOS!A:A,CODIGOS!B:B)," ")</f>
        <v>COMIDA DE PATRONA</v>
      </c>
      <c r="H168" s="74">
        <f>IF(J168="SI",IFERROR(LOOKUP(E168,CODIGOS!A:A,CODIGOS!C:C)," "),IFERROR(LOOKUP(E168,CODIGOS!A:A,CODIGOS!D:D),""))</f>
        <v>55</v>
      </c>
      <c r="J168" s="35" t="str">
        <f>IFERROR(LOOKUP(D168,SOCIO!B:B,SOCIO!C:C)," ")</f>
        <v>SI</v>
      </c>
    </row>
    <row r="169" spans="1:10">
      <c r="A169" s="83">
        <f t="shared" si="2"/>
        <v>168</v>
      </c>
      <c r="B169" s="33">
        <v>46069</v>
      </c>
      <c r="C169" s="63">
        <f>IFERROR(LOOKUP(D169,SOCIO!B:B,SOCIO!A:A),"")</f>
        <v>2940</v>
      </c>
      <c r="D169" s="70" t="s">
        <v>1478</v>
      </c>
      <c r="E169" s="34">
        <v>20</v>
      </c>
      <c r="F169" s="67" t="str">
        <f>IFERROR(LOOKUP(E169,CODIGOS!A:A,CODIGOS!B:B)," ")</f>
        <v>VISITA A FONELAS</v>
      </c>
      <c r="H169" s="74">
        <f>IF(J169="SI",IFERROR(LOOKUP(E169,CODIGOS!A:A,CODIGOS!C:C)," "),IFERROR(LOOKUP(E169,CODIGOS!A:A,CODIGOS!D:D),""))</f>
        <v>20</v>
      </c>
      <c r="J169" s="35" t="str">
        <f>IFERROR(LOOKUP(D169,SOCIO!B:B,SOCIO!C:C)," ")</f>
        <v>SI</v>
      </c>
    </row>
    <row r="170" spans="1:10">
      <c r="A170" s="83">
        <f t="shared" si="2"/>
        <v>169</v>
      </c>
      <c r="B170" s="33">
        <v>46069</v>
      </c>
      <c r="C170" s="63">
        <f>IFERROR(LOOKUP(D170,SOCIO!B:B,SOCIO!A:A),"")</f>
        <v>2684</v>
      </c>
      <c r="D170" s="70" t="s">
        <v>1100</v>
      </c>
      <c r="E170" s="34">
        <v>18</v>
      </c>
      <c r="F170" s="67" t="str">
        <f>IFERROR(LOOKUP(E170,CODIGOS!A:A,CODIGOS!B:B)," ")</f>
        <v>COMIDA DE PATRONA</v>
      </c>
      <c r="H170" s="74">
        <f>IF(J170="SI",IFERROR(LOOKUP(E170,CODIGOS!A:A,CODIGOS!C:C)," "),IFERROR(LOOKUP(E170,CODIGOS!A:A,CODIGOS!D:D),""))</f>
        <v>55</v>
      </c>
      <c r="J170" s="35" t="str">
        <f>IFERROR(LOOKUP(D170,SOCIO!B:B,SOCIO!C:C)," ")</f>
        <v>SI</v>
      </c>
    </row>
    <row r="171" spans="1:10">
      <c r="A171" s="83">
        <f t="shared" si="2"/>
        <v>170</v>
      </c>
      <c r="B171" s="33">
        <v>46069</v>
      </c>
      <c r="C171" s="63">
        <f>IFERROR(LOOKUP(D171,SOCIO!B:B,SOCIO!A:A),"")</f>
        <v>2804</v>
      </c>
      <c r="D171" s="70" t="s">
        <v>1182</v>
      </c>
      <c r="E171" s="34">
        <v>18</v>
      </c>
      <c r="F171" s="67" t="str">
        <f>IFERROR(LOOKUP(E171,CODIGOS!A:A,CODIGOS!B:B)," ")</f>
        <v>COMIDA DE PATRONA</v>
      </c>
      <c r="H171" s="74">
        <f>IF(J171="SI",IFERROR(LOOKUP(E171,CODIGOS!A:A,CODIGOS!C:C)," "),IFERROR(LOOKUP(E171,CODIGOS!A:A,CODIGOS!D:D),""))</f>
        <v>55</v>
      </c>
      <c r="J171" s="35" t="str">
        <f>IFERROR(LOOKUP(D171,SOCIO!B:B,SOCIO!C:C)," ")</f>
        <v>SI</v>
      </c>
    </row>
    <row r="172" spans="1:10">
      <c r="A172" s="83">
        <f t="shared" si="2"/>
        <v>171</v>
      </c>
      <c r="B172" s="33">
        <v>46070</v>
      </c>
      <c r="C172" s="63">
        <f>IFERROR(LOOKUP(D172,SOCIO!B:B,SOCIO!A:A),"")</f>
        <v>2900</v>
      </c>
      <c r="D172" s="70" t="s">
        <v>1315</v>
      </c>
      <c r="E172" s="34">
        <v>20</v>
      </c>
      <c r="F172" s="67" t="str">
        <f>IFERROR(LOOKUP(E172,CODIGOS!A:A,CODIGOS!B:B)," ")</f>
        <v>VISITA A FONELAS</v>
      </c>
      <c r="H172" s="74">
        <f>IF(J172="SI",IFERROR(LOOKUP(E172,CODIGOS!A:A,CODIGOS!C:C)," "),IFERROR(LOOKUP(E172,CODIGOS!A:A,CODIGOS!D:D),""))</f>
        <v>20</v>
      </c>
      <c r="J172" s="35" t="str">
        <f>IFERROR(LOOKUP(D172,SOCIO!B:B,SOCIO!C:C)," ")</f>
        <v>SI</v>
      </c>
    </row>
    <row r="173" spans="1:10">
      <c r="A173" s="83">
        <f t="shared" si="2"/>
        <v>172</v>
      </c>
      <c r="B173" s="33">
        <v>46070</v>
      </c>
      <c r="C173" s="96" t="s">
        <v>1637</v>
      </c>
      <c r="D173" s="97" t="s">
        <v>1706</v>
      </c>
      <c r="E173" s="34">
        <v>20</v>
      </c>
      <c r="F173" s="67" t="str">
        <f>IFERROR(LOOKUP(E173,CODIGOS!A:A,CODIGOS!B:B)," ")</f>
        <v>VISITA A FONELAS</v>
      </c>
      <c r="H173" s="74">
        <v>25</v>
      </c>
      <c r="J173" s="73" t="s">
        <v>20</v>
      </c>
    </row>
    <row r="174" spans="1:10">
      <c r="A174" s="83">
        <f t="shared" si="2"/>
        <v>173</v>
      </c>
      <c r="B174" s="33">
        <v>46070</v>
      </c>
      <c r="C174" s="96" t="s">
        <v>1707</v>
      </c>
      <c r="D174" s="97" t="s">
        <v>1708</v>
      </c>
      <c r="E174" s="34">
        <v>20</v>
      </c>
      <c r="F174" s="67" t="str">
        <f>IFERROR(LOOKUP(E174,CODIGOS!A:A,CODIGOS!B:B)," ")</f>
        <v>VISITA A FONELAS</v>
      </c>
      <c r="H174" s="74">
        <v>25</v>
      </c>
      <c r="J174" s="73" t="s">
        <v>20</v>
      </c>
    </row>
    <row r="175" spans="1:10">
      <c r="A175" s="83">
        <f t="shared" si="2"/>
        <v>174</v>
      </c>
      <c r="B175" s="33">
        <v>46070</v>
      </c>
      <c r="C175" s="63">
        <f>IFERROR(LOOKUP(D175,SOCIO!B:B,SOCIO!A:A),"")</f>
        <v>1916</v>
      </c>
      <c r="D175" s="70" t="s">
        <v>1250</v>
      </c>
      <c r="E175" s="34">
        <v>18</v>
      </c>
      <c r="F175" s="67" t="str">
        <f>IFERROR(LOOKUP(E175,CODIGOS!A:A,CODIGOS!B:B)," ")</f>
        <v>COMIDA DE PATRONA</v>
      </c>
      <c r="H175" s="74">
        <f>IF(J175="SI",IFERROR(LOOKUP(E175,CODIGOS!A:A,CODIGOS!C:C)," "),IFERROR(LOOKUP(E175,CODIGOS!A:A,CODIGOS!D:D),""))</f>
        <v>55</v>
      </c>
      <c r="J175" s="35" t="str">
        <f>IFERROR(LOOKUP(D175,SOCIO!B:B,SOCIO!C:C)," ")</f>
        <v>SI</v>
      </c>
    </row>
    <row r="176" spans="1:10">
      <c r="A176" s="83">
        <f t="shared" si="2"/>
        <v>175</v>
      </c>
      <c r="B176" s="33">
        <v>46070</v>
      </c>
      <c r="C176" s="63">
        <v>3162</v>
      </c>
      <c r="D176" s="97" t="s">
        <v>1709</v>
      </c>
      <c r="E176" s="34">
        <v>2</v>
      </c>
      <c r="F176" s="67" t="str">
        <f>IFERROR(LOOKUP(E176,CODIGOS!A:A,CODIGOS!B:B)," ")</f>
        <v>CUOTA NUEVO SOCIO</v>
      </c>
      <c r="H176" s="74">
        <f>IF(J176="SI",IFERROR(LOOKUP(E176,CODIGOS!A:A,CODIGOS!C:C)," "),IFERROR(LOOKUP(E176,CODIGOS!A:A,CODIGOS!D:D),""))</f>
        <v>30</v>
      </c>
      <c r="J176" s="35" t="str">
        <f>IFERROR(LOOKUP(D176,SOCIO!B:B,SOCIO!C:C)," ")</f>
        <v>SI</v>
      </c>
    </row>
    <row r="177" spans="1:10">
      <c r="A177" s="83">
        <f t="shared" si="2"/>
        <v>176</v>
      </c>
      <c r="B177" s="33">
        <v>46070</v>
      </c>
      <c r="C177" s="63">
        <v>3162</v>
      </c>
      <c r="D177" s="97" t="s">
        <v>1709</v>
      </c>
      <c r="E177" s="34">
        <v>20</v>
      </c>
      <c r="F177" s="67" t="str">
        <f>IFERROR(LOOKUP(E177,CODIGOS!A:A,CODIGOS!B:B)," ")</f>
        <v>VISITA A FONELAS</v>
      </c>
      <c r="H177" s="74">
        <f>IF(J177="SI",IFERROR(LOOKUP(E177,CODIGOS!A:A,CODIGOS!C:C)," "),IFERROR(LOOKUP(E177,CODIGOS!A:A,CODIGOS!D:D),""))</f>
        <v>20</v>
      </c>
      <c r="J177" s="35" t="str">
        <f>IFERROR(LOOKUP(D177,SOCIO!B:B,SOCIO!C:C)," ")</f>
        <v>SI</v>
      </c>
    </row>
    <row r="178" spans="1:10">
      <c r="A178" s="83">
        <f t="shared" si="2"/>
        <v>177</v>
      </c>
      <c r="B178" s="33">
        <v>46070</v>
      </c>
      <c r="C178" s="63">
        <f>IFERROR(LOOKUP(D178,SOCIO!B:B,SOCIO!A:A),"")</f>
        <v>2642</v>
      </c>
      <c r="D178" s="70" t="s">
        <v>1313</v>
      </c>
      <c r="E178" s="34">
        <v>20</v>
      </c>
      <c r="F178" s="67" t="str">
        <f>IFERROR(LOOKUP(E178,CODIGOS!A:A,CODIGOS!B:B)," ")</f>
        <v>VISITA A FONELAS</v>
      </c>
      <c r="H178" s="74">
        <f>IF(J178="SI",IFERROR(LOOKUP(E178,CODIGOS!A:A,CODIGOS!C:C)," "),IFERROR(LOOKUP(E178,CODIGOS!A:A,CODIGOS!D:D),""))</f>
        <v>20</v>
      </c>
      <c r="J178" s="35" t="str">
        <f>IFERROR(LOOKUP(D178,SOCIO!B:B,SOCIO!C:C)," ")</f>
        <v>SI</v>
      </c>
    </row>
    <row r="179" spans="1:10">
      <c r="A179" s="83">
        <f t="shared" si="2"/>
        <v>178</v>
      </c>
      <c r="B179" s="33">
        <v>46071</v>
      </c>
      <c r="C179" s="96" t="s">
        <v>1713</v>
      </c>
      <c r="D179" s="97" t="s">
        <v>1712</v>
      </c>
      <c r="E179" s="34">
        <v>20</v>
      </c>
      <c r="F179" s="67" t="str">
        <f>IFERROR(LOOKUP(E179,CODIGOS!A:A,CODIGOS!B:B)," ")</f>
        <v>VISITA A FONELAS</v>
      </c>
      <c r="H179" s="74">
        <v>25</v>
      </c>
      <c r="J179" s="73" t="s">
        <v>20</v>
      </c>
    </row>
    <row r="180" spans="1:10">
      <c r="A180" s="83">
        <f t="shared" si="2"/>
        <v>179</v>
      </c>
      <c r="B180" s="33">
        <v>46071</v>
      </c>
      <c r="C180" s="63">
        <v>3070</v>
      </c>
      <c r="D180" s="97" t="s">
        <v>1695</v>
      </c>
      <c r="E180" s="34">
        <v>20</v>
      </c>
      <c r="F180" s="67" t="str">
        <f>IFERROR(LOOKUP(E180,CODIGOS!A:A,CODIGOS!B:B)," ")</f>
        <v>VISITA A FONELAS</v>
      </c>
      <c r="H180" s="74">
        <f>IF(J180="SI",IFERROR(LOOKUP(E180,CODIGOS!A:A,CODIGOS!C:C)," "),IFERROR(LOOKUP(E180,CODIGOS!A:A,CODIGOS!D:D),""))</f>
        <v>20</v>
      </c>
      <c r="J180" s="35" t="str">
        <f>IFERROR(LOOKUP(D180,SOCIO!B:B,SOCIO!C:C)," ")</f>
        <v>SI</v>
      </c>
    </row>
    <row r="181" spans="1:10">
      <c r="A181" s="83">
        <f t="shared" si="2"/>
        <v>180</v>
      </c>
      <c r="B181" s="33">
        <v>46071</v>
      </c>
      <c r="C181" s="63">
        <f>IFERROR(LOOKUP(D181,SOCIO!B:B,SOCIO!A:A),"")</f>
        <v>3052</v>
      </c>
      <c r="D181" s="97" t="s">
        <v>1714</v>
      </c>
      <c r="E181" s="34">
        <v>1</v>
      </c>
      <c r="F181" s="67" t="str">
        <f>IFERROR(LOOKUP(E181,CODIGOS!A:A,CODIGOS!B:B)," ")</f>
        <v>CUOTA SOCIO</v>
      </c>
      <c r="H181" s="74">
        <f>IF(J181="SI",IFERROR(LOOKUP(E181,CODIGOS!A:A,CODIGOS!C:C)," "),IFERROR(LOOKUP(E181,CODIGOS!A:A,CODIGOS!D:D),""))</f>
        <v>30</v>
      </c>
      <c r="J181" s="35" t="str">
        <f>IFERROR(LOOKUP(D181,SOCIO!B:B,SOCIO!C:C)," ")</f>
        <v>SI</v>
      </c>
    </row>
    <row r="182" spans="1:10">
      <c r="A182" s="83">
        <f t="shared" si="2"/>
        <v>181</v>
      </c>
      <c r="B182" s="33">
        <v>46071</v>
      </c>
      <c r="C182" s="63">
        <f>IFERROR(LOOKUP(D182,SOCIO!B:B,SOCIO!A:A),"")</f>
        <v>2602</v>
      </c>
      <c r="D182" s="97" t="s">
        <v>1141</v>
      </c>
      <c r="E182" s="34">
        <v>18</v>
      </c>
      <c r="F182" s="67" t="str">
        <f>IFERROR(LOOKUP(E182,CODIGOS!A:A,CODIGOS!B:B)," ")</f>
        <v>COMIDA DE PATRONA</v>
      </c>
      <c r="H182" s="74">
        <f>IF(J182="SI",IFERROR(LOOKUP(E182,CODIGOS!A:A,CODIGOS!C:C)," "),IFERROR(LOOKUP(E182,CODIGOS!A:A,CODIGOS!D:D),""))</f>
        <v>55</v>
      </c>
      <c r="J182" s="35" t="str">
        <f>IFERROR(LOOKUP(D182,SOCIO!B:B,SOCIO!C:C)," ")</f>
        <v>SI</v>
      </c>
    </row>
    <row r="183" spans="1:10">
      <c r="A183" s="83">
        <f t="shared" si="2"/>
        <v>182</v>
      </c>
      <c r="B183" s="33">
        <v>46071</v>
      </c>
      <c r="C183" s="63">
        <f>IFERROR(LOOKUP(D183,SOCIO!B:B,SOCIO!A:A),"")</f>
        <v>2407</v>
      </c>
      <c r="D183" s="97" t="s">
        <v>1137</v>
      </c>
      <c r="E183" s="34">
        <v>18</v>
      </c>
      <c r="F183" s="67" t="str">
        <f>IFERROR(LOOKUP(E183,CODIGOS!A:A,CODIGOS!B:B)," ")</f>
        <v>COMIDA DE PATRONA</v>
      </c>
      <c r="H183" s="74">
        <f>IF(J183="SI",IFERROR(LOOKUP(E183,CODIGOS!A:A,CODIGOS!C:C)," "),IFERROR(LOOKUP(E183,CODIGOS!A:A,CODIGOS!D:D),""))</f>
        <v>55</v>
      </c>
      <c r="J183" s="35" t="str">
        <f>IFERROR(LOOKUP(D183,SOCIO!B:B,SOCIO!C:C)," ")</f>
        <v>SI</v>
      </c>
    </row>
    <row r="184" spans="1:10">
      <c r="A184" s="83">
        <f t="shared" si="2"/>
        <v>183</v>
      </c>
      <c r="B184" s="33">
        <v>46071</v>
      </c>
      <c r="C184" s="63">
        <f>IFERROR(LOOKUP(D184,SOCIO!B:B,SOCIO!A:A),"")</f>
        <v>2451</v>
      </c>
      <c r="D184" s="97" t="s">
        <v>1463</v>
      </c>
      <c r="E184" s="34">
        <v>18</v>
      </c>
      <c r="F184" s="67" t="str">
        <f>IFERROR(LOOKUP(E184,CODIGOS!A:A,CODIGOS!B:B)," ")</f>
        <v>COMIDA DE PATRONA</v>
      </c>
      <c r="H184" s="74">
        <f>IF(J184="SI",IFERROR(LOOKUP(E184,CODIGOS!A:A,CODIGOS!C:C)," "),IFERROR(LOOKUP(E184,CODIGOS!A:A,CODIGOS!D:D),""))</f>
        <v>55</v>
      </c>
      <c r="J184" s="35" t="str">
        <f>IFERROR(LOOKUP(D184,SOCIO!B:B,SOCIO!C:C)," ")</f>
        <v>SI</v>
      </c>
    </row>
    <row r="185" spans="1:10">
      <c r="A185" s="83" t="str">
        <f t="shared" si="2"/>
        <v xml:space="preserve"> </v>
      </c>
      <c r="C185" s="63" t="str">
        <f>IFERROR(LOOKUP(D185,SOCIO!B:B,SOCIO!A:A),"")</f>
        <v/>
      </c>
      <c r="F185" s="67" t="str">
        <f>IFERROR(LOOKUP(E185,CODIGOS!A:A,CODIGOS!B:B)," ")</f>
        <v xml:space="preserve"> </v>
      </c>
      <c r="H185" s="74" t="str">
        <f>IF(J185="SI",IFERROR(LOOKUP(E185,CODIGOS!A:A,CODIGOS!C:C)," "),IFERROR(LOOKUP(E185,CODIGOS!A:A,CODIGOS!D:D),""))</f>
        <v/>
      </c>
      <c r="J185" s="35" t="str">
        <f>IFERROR(LOOKUP(D185,SOCIO!B:B,SOCIO!C:C)," ")</f>
        <v xml:space="preserve"> </v>
      </c>
    </row>
    <row r="186" spans="1:10">
      <c r="A186" s="83" t="str">
        <f t="shared" si="2"/>
        <v xml:space="preserve"> </v>
      </c>
      <c r="C186" s="63" t="str">
        <f>IFERROR(LOOKUP(D186,SOCIO!B:B,SOCIO!A:A),"")</f>
        <v/>
      </c>
      <c r="F186" s="67" t="str">
        <f>IFERROR(LOOKUP(E186,CODIGOS!A:A,CODIGOS!B:B)," ")</f>
        <v xml:space="preserve"> </v>
      </c>
      <c r="H186" s="74" t="str">
        <f>IF(J186="SI",IFERROR(LOOKUP(E186,CODIGOS!A:A,CODIGOS!C:C)," "),IFERROR(LOOKUP(E186,CODIGOS!A:A,CODIGOS!D:D),""))</f>
        <v/>
      </c>
      <c r="J186" s="35" t="str">
        <f>IFERROR(LOOKUP(D186,SOCIO!B:B,SOCIO!C:C)," ")</f>
        <v xml:space="preserve"> </v>
      </c>
    </row>
    <row r="187" spans="1:10">
      <c r="A187" s="83" t="str">
        <f t="shared" si="2"/>
        <v xml:space="preserve"> </v>
      </c>
      <c r="C187" s="63" t="str">
        <f>IFERROR(LOOKUP(D187,SOCIO!B:B,SOCIO!A:A),"")</f>
        <v/>
      </c>
      <c r="F187" s="67" t="str">
        <f>IFERROR(LOOKUP(E187,CODIGOS!A:A,CODIGOS!B:B)," ")</f>
        <v xml:space="preserve"> </v>
      </c>
      <c r="H187" s="74" t="str">
        <f>IF(J187="SI",IFERROR(LOOKUP(E187,CODIGOS!A:A,CODIGOS!C:C)," "),IFERROR(LOOKUP(E187,CODIGOS!A:A,CODIGOS!D:D),""))</f>
        <v/>
      </c>
      <c r="J187" s="35" t="str">
        <f>IFERROR(LOOKUP(D187,SOCIO!B:B,SOCIO!C:C)," ")</f>
        <v xml:space="preserve"> </v>
      </c>
    </row>
    <row r="188" spans="1:10">
      <c r="A188" s="83" t="str">
        <f t="shared" si="2"/>
        <v xml:space="preserve"> </v>
      </c>
      <c r="C188" s="63" t="str">
        <f>IFERROR(LOOKUP(D188,SOCIO!B:B,SOCIO!A:A),"")</f>
        <v/>
      </c>
      <c r="F188" s="67" t="str">
        <f>IFERROR(LOOKUP(E188,CODIGOS!A:A,CODIGOS!B:B)," ")</f>
        <v xml:space="preserve"> </v>
      </c>
      <c r="H188" s="74" t="str">
        <f>IF(J188="SI",IFERROR(LOOKUP(E188,CODIGOS!A:A,CODIGOS!C:C)," "),IFERROR(LOOKUP(E188,CODIGOS!A:A,CODIGOS!D:D),""))</f>
        <v/>
      </c>
      <c r="J188" s="35" t="str">
        <f>IFERROR(LOOKUP(D188,SOCIO!B:B,SOCIO!C:C)," ")</f>
        <v xml:space="preserve"> </v>
      </c>
    </row>
    <row r="189" spans="1:10">
      <c r="A189" s="83" t="str">
        <f t="shared" si="2"/>
        <v xml:space="preserve"> </v>
      </c>
      <c r="C189" s="63" t="str">
        <f>IFERROR(LOOKUP(D189,SOCIO!B:B,SOCIO!A:A),"")</f>
        <v/>
      </c>
      <c r="F189" s="67" t="str">
        <f>IFERROR(LOOKUP(E189,CODIGOS!A:A,CODIGOS!B:B)," ")</f>
        <v xml:space="preserve"> </v>
      </c>
      <c r="H189" s="74" t="str">
        <f>IF(J189="SI",IFERROR(LOOKUP(E189,CODIGOS!A:A,CODIGOS!C:C)," "),IFERROR(LOOKUP(E189,CODIGOS!A:A,CODIGOS!D:D),""))</f>
        <v/>
      </c>
      <c r="J189" s="35" t="str">
        <f>IFERROR(LOOKUP(D189,SOCIO!B:B,SOCIO!C:C)," ")</f>
        <v xml:space="preserve"> </v>
      </c>
    </row>
    <row r="190" spans="1:10">
      <c r="A190" s="83" t="str">
        <f t="shared" si="2"/>
        <v xml:space="preserve"> </v>
      </c>
      <c r="C190" s="63" t="str">
        <f>IFERROR(LOOKUP(D190,SOCIO!B:B,SOCIO!A:A),"")</f>
        <v/>
      </c>
      <c r="F190" s="67" t="str">
        <f>IFERROR(LOOKUP(E190,CODIGOS!A:A,CODIGOS!B:B)," ")</f>
        <v xml:space="preserve"> </v>
      </c>
      <c r="H190" s="74" t="str">
        <f>IF(J190="SI",IFERROR(LOOKUP(E190,CODIGOS!A:A,CODIGOS!C:C)," "),IFERROR(LOOKUP(E190,CODIGOS!A:A,CODIGOS!D:D),""))</f>
        <v/>
      </c>
      <c r="J190" s="35" t="str">
        <f>IFERROR(LOOKUP(D190,SOCIO!B:B,SOCIO!C:C)," ")</f>
        <v xml:space="preserve"> </v>
      </c>
    </row>
    <row r="191" spans="1:10">
      <c r="A191" s="83" t="str">
        <f t="shared" si="2"/>
        <v xml:space="preserve"> </v>
      </c>
      <c r="C191" s="63" t="str">
        <f>IFERROR(LOOKUP(D191,SOCIO!B:B,SOCIO!A:A),"")</f>
        <v/>
      </c>
      <c r="F191" s="67" t="str">
        <f>IFERROR(LOOKUP(E191,CODIGOS!A:A,CODIGOS!B:B)," ")</f>
        <v xml:space="preserve"> </v>
      </c>
      <c r="H191" s="74" t="str">
        <f>IF(J191="SI",IFERROR(LOOKUP(E191,CODIGOS!A:A,CODIGOS!C:C)," "),IFERROR(LOOKUP(E191,CODIGOS!A:A,CODIGOS!D:D),""))</f>
        <v/>
      </c>
      <c r="J191" s="35" t="str">
        <f>IFERROR(LOOKUP(D191,SOCIO!B:B,SOCIO!C:C)," ")</f>
        <v xml:space="preserve"> </v>
      </c>
    </row>
    <row r="192" spans="1:10">
      <c r="A192" s="83" t="str">
        <f t="shared" si="2"/>
        <v xml:space="preserve"> </v>
      </c>
      <c r="C192" s="63" t="str">
        <f>IFERROR(LOOKUP(D192,SOCIO!B:B,SOCIO!A:A),"")</f>
        <v/>
      </c>
      <c r="F192" s="67" t="str">
        <f>IFERROR(LOOKUP(E192,CODIGOS!A:A,CODIGOS!B:B)," ")</f>
        <v xml:space="preserve"> </v>
      </c>
      <c r="H192" s="74" t="str">
        <f>IF(J192="SI",IFERROR(LOOKUP(E192,CODIGOS!A:A,CODIGOS!C:C)," "),IFERROR(LOOKUP(E192,CODIGOS!A:A,CODIGOS!D:D),""))</f>
        <v/>
      </c>
      <c r="J192" s="35" t="str">
        <f>IFERROR(LOOKUP(D192,SOCIO!B:B,SOCIO!C:C)," ")</f>
        <v xml:space="preserve"> </v>
      </c>
    </row>
    <row r="193" spans="1:10">
      <c r="A193" s="83" t="str">
        <f t="shared" si="2"/>
        <v xml:space="preserve"> </v>
      </c>
      <c r="C193" s="63" t="str">
        <f>IFERROR(LOOKUP(D193,SOCIO!B:B,SOCIO!A:A),"")</f>
        <v/>
      </c>
      <c r="F193" s="67" t="str">
        <f>IFERROR(LOOKUP(E193,CODIGOS!A:A,CODIGOS!B:B)," ")</f>
        <v xml:space="preserve"> </v>
      </c>
      <c r="H193" s="74" t="str">
        <f>IF(J193="SI",IFERROR(LOOKUP(E193,CODIGOS!A:A,CODIGOS!C:C)," "),IFERROR(LOOKUP(E193,CODIGOS!A:A,CODIGOS!D:D),""))</f>
        <v/>
      </c>
      <c r="J193" s="35" t="str">
        <f>IFERROR(LOOKUP(D193,SOCIO!B:B,SOCIO!C:C)," ")</f>
        <v xml:space="preserve"> </v>
      </c>
    </row>
    <row r="194" spans="1:10">
      <c r="A194" s="83" t="str">
        <f t="shared" ref="A194:A257" si="3">IF(B194&lt;&gt;0,A193+1," ")</f>
        <v xml:space="preserve"> </v>
      </c>
      <c r="C194" s="63" t="str">
        <f>IFERROR(LOOKUP(D194,SOCIO!B:B,SOCIO!A:A),"")</f>
        <v/>
      </c>
      <c r="F194" s="67" t="str">
        <f>IFERROR(LOOKUP(E194,CODIGOS!A:A,CODIGOS!B:B)," ")</f>
        <v xml:space="preserve"> </v>
      </c>
      <c r="H194" s="74" t="str">
        <f>IF(J194="SI",IFERROR(LOOKUP(E194,CODIGOS!A:A,CODIGOS!C:C)," "),IFERROR(LOOKUP(E194,CODIGOS!A:A,CODIGOS!D:D),""))</f>
        <v/>
      </c>
      <c r="J194" s="35" t="str">
        <f>IFERROR(LOOKUP(D194,SOCIO!B:B,SOCIO!C:C)," ")</f>
        <v xml:space="preserve"> </v>
      </c>
    </row>
    <row r="195" spans="1:10">
      <c r="A195" s="83" t="str">
        <f t="shared" si="3"/>
        <v xml:space="preserve"> </v>
      </c>
      <c r="C195" s="63" t="str">
        <f>IFERROR(LOOKUP(D195,SOCIO!B:B,SOCIO!A:A),"")</f>
        <v/>
      </c>
      <c r="F195" s="67" t="str">
        <f>IFERROR(LOOKUP(E195,CODIGOS!A:A,CODIGOS!B:B)," ")</f>
        <v xml:space="preserve"> </v>
      </c>
      <c r="H195" s="74" t="str">
        <f>IF(J195="SI",IFERROR(LOOKUP(E195,CODIGOS!A:A,CODIGOS!C:C)," "),IFERROR(LOOKUP(E195,CODIGOS!A:A,CODIGOS!D:D),""))</f>
        <v/>
      </c>
      <c r="J195" s="35" t="str">
        <f>IFERROR(LOOKUP(D195,SOCIO!B:B,SOCIO!C:C)," ")</f>
        <v xml:space="preserve"> </v>
      </c>
    </row>
    <row r="196" spans="1:10">
      <c r="A196" s="83" t="str">
        <f t="shared" si="3"/>
        <v xml:space="preserve"> </v>
      </c>
      <c r="C196" s="63" t="str">
        <f>IFERROR(LOOKUP(D196,SOCIO!B:B,SOCIO!A:A),"")</f>
        <v/>
      </c>
      <c r="F196" s="67" t="str">
        <f>IFERROR(LOOKUP(E196,CODIGOS!A:A,CODIGOS!B:B)," ")</f>
        <v xml:space="preserve"> </v>
      </c>
      <c r="H196" s="74" t="str">
        <f>IF(J196="SI",IFERROR(LOOKUP(E196,CODIGOS!A:A,CODIGOS!C:C)," "),IFERROR(LOOKUP(E196,CODIGOS!A:A,CODIGOS!D:D),""))</f>
        <v/>
      </c>
      <c r="J196" s="35" t="str">
        <f>IFERROR(LOOKUP(D196,SOCIO!B:B,SOCIO!C:C)," ")</f>
        <v xml:space="preserve"> </v>
      </c>
    </row>
    <row r="197" spans="1:10">
      <c r="A197" s="83" t="str">
        <f t="shared" si="3"/>
        <v xml:space="preserve"> </v>
      </c>
      <c r="C197" s="63" t="str">
        <f>IFERROR(LOOKUP(D197,SOCIO!B:B,SOCIO!A:A),"")</f>
        <v/>
      </c>
      <c r="F197" s="67" t="str">
        <f>IFERROR(LOOKUP(E197,CODIGOS!A:A,CODIGOS!B:B)," ")</f>
        <v xml:space="preserve"> </v>
      </c>
      <c r="H197" s="74" t="str">
        <f>IF(J197="SI",IFERROR(LOOKUP(E197,CODIGOS!A:A,CODIGOS!C:C)," "),IFERROR(LOOKUP(E197,CODIGOS!A:A,CODIGOS!D:D),""))</f>
        <v/>
      </c>
      <c r="J197" s="35" t="str">
        <f>IFERROR(LOOKUP(D197,SOCIO!B:B,SOCIO!C:C)," ")</f>
        <v xml:space="preserve"> </v>
      </c>
    </row>
    <row r="198" spans="1:10">
      <c r="A198" s="83" t="str">
        <f t="shared" si="3"/>
        <v xml:space="preserve"> </v>
      </c>
      <c r="C198" s="63" t="str">
        <f>IFERROR(LOOKUP(D198,SOCIO!B:B,SOCIO!A:A),"")</f>
        <v/>
      </c>
      <c r="F198" s="67" t="str">
        <f>IFERROR(LOOKUP(E198,CODIGOS!A:A,CODIGOS!B:B)," ")</f>
        <v xml:space="preserve"> </v>
      </c>
      <c r="H198" s="74" t="str">
        <f>IF(J198="SI",IFERROR(LOOKUP(E198,CODIGOS!A:A,CODIGOS!C:C)," "),IFERROR(LOOKUP(E198,CODIGOS!A:A,CODIGOS!D:D),""))</f>
        <v/>
      </c>
      <c r="J198" s="35" t="str">
        <f>IFERROR(LOOKUP(D198,SOCIO!B:B,SOCIO!C:C)," ")</f>
        <v xml:space="preserve"> </v>
      </c>
    </row>
    <row r="199" spans="1:10">
      <c r="A199" s="83" t="str">
        <f t="shared" si="3"/>
        <v xml:space="preserve"> </v>
      </c>
      <c r="C199" s="63" t="str">
        <f>IFERROR(LOOKUP(D199,SOCIO!B:B,SOCIO!A:A),"")</f>
        <v/>
      </c>
      <c r="F199" s="67" t="str">
        <f>IFERROR(LOOKUP(E199,CODIGOS!A:A,CODIGOS!B:B)," ")</f>
        <v xml:space="preserve"> </v>
      </c>
      <c r="H199" s="74" t="str">
        <f>IF(J199="SI",IFERROR(LOOKUP(E199,CODIGOS!A:A,CODIGOS!C:C)," "),IFERROR(LOOKUP(E199,CODIGOS!A:A,CODIGOS!D:D),""))</f>
        <v/>
      </c>
      <c r="J199" s="35" t="str">
        <f>IFERROR(LOOKUP(D199,SOCIO!B:B,SOCIO!C:C)," ")</f>
        <v xml:space="preserve"> </v>
      </c>
    </row>
    <row r="200" spans="1:10">
      <c r="A200" s="83" t="str">
        <f t="shared" si="3"/>
        <v xml:space="preserve"> </v>
      </c>
      <c r="C200" s="63" t="str">
        <f>IFERROR(LOOKUP(D200,SOCIO!B:B,SOCIO!A:A),"")</f>
        <v/>
      </c>
      <c r="F200" s="67" t="str">
        <f>IFERROR(LOOKUP(E200,CODIGOS!A:A,CODIGOS!B:B)," ")</f>
        <v xml:space="preserve"> </v>
      </c>
      <c r="H200" s="74" t="str">
        <f>IF(J200="SI",IFERROR(LOOKUP(E200,CODIGOS!A:A,CODIGOS!C:C)," "),IFERROR(LOOKUP(E200,CODIGOS!A:A,CODIGOS!D:D),""))</f>
        <v/>
      </c>
      <c r="J200" s="35" t="str">
        <f>IFERROR(LOOKUP(D200,SOCIO!B:B,SOCIO!C:C)," ")</f>
        <v xml:space="preserve"> </v>
      </c>
    </row>
    <row r="201" spans="1:10">
      <c r="A201" s="83" t="str">
        <f t="shared" si="3"/>
        <v xml:space="preserve"> </v>
      </c>
      <c r="C201" s="63" t="str">
        <f>IFERROR(LOOKUP(D201,SOCIO!B:B,SOCIO!A:A),"")</f>
        <v/>
      </c>
      <c r="F201" s="67" t="str">
        <f>IFERROR(LOOKUP(E201,CODIGOS!A:A,CODIGOS!B:B)," ")</f>
        <v xml:space="preserve"> </v>
      </c>
      <c r="H201" s="74" t="str">
        <f>IF(J201="SI",IFERROR(LOOKUP(E201,CODIGOS!A:A,CODIGOS!C:C)," "),IFERROR(LOOKUP(E201,CODIGOS!A:A,CODIGOS!D:D),""))</f>
        <v/>
      </c>
      <c r="J201" s="35" t="str">
        <f>IFERROR(LOOKUP(D201,SOCIO!B:B,SOCIO!C:C)," ")</f>
        <v xml:space="preserve"> </v>
      </c>
    </row>
    <row r="202" spans="1:10">
      <c r="A202" s="83" t="str">
        <f t="shared" si="3"/>
        <v xml:space="preserve"> </v>
      </c>
      <c r="C202" s="63" t="str">
        <f>IFERROR(LOOKUP(D202,SOCIO!B:B,SOCIO!A:A),"")</f>
        <v/>
      </c>
      <c r="F202" s="67" t="str">
        <f>IFERROR(LOOKUP(E202,CODIGOS!A:A,CODIGOS!B:B)," ")</f>
        <v xml:space="preserve"> </v>
      </c>
      <c r="H202" s="74" t="str">
        <f>IF(J202="SI",IFERROR(LOOKUP(E202,CODIGOS!A:A,CODIGOS!C:C)," "),IFERROR(LOOKUP(E202,CODIGOS!A:A,CODIGOS!D:D),""))</f>
        <v/>
      </c>
      <c r="J202" s="35" t="str">
        <f>IFERROR(LOOKUP(D202,SOCIO!B:B,SOCIO!C:C)," ")</f>
        <v xml:space="preserve"> </v>
      </c>
    </row>
    <row r="203" spans="1:10">
      <c r="A203" s="83" t="str">
        <f t="shared" si="3"/>
        <v xml:space="preserve"> </v>
      </c>
      <c r="C203" s="63" t="str">
        <f>IFERROR(LOOKUP(D203,SOCIO!B:B,SOCIO!A:A),"")</f>
        <v/>
      </c>
      <c r="F203" s="67" t="str">
        <f>IFERROR(LOOKUP(E203,CODIGOS!A:A,CODIGOS!B:B)," ")</f>
        <v xml:space="preserve"> </v>
      </c>
      <c r="H203" s="74" t="str">
        <f>IF(J203="SI",IFERROR(LOOKUP(E203,CODIGOS!A:A,CODIGOS!C:C)," "),IFERROR(LOOKUP(E203,CODIGOS!A:A,CODIGOS!D:D),""))</f>
        <v/>
      </c>
      <c r="J203" s="35" t="str">
        <f>IFERROR(LOOKUP(D203,SOCIO!B:B,SOCIO!C:C)," ")</f>
        <v xml:space="preserve"> </v>
      </c>
    </row>
    <row r="204" spans="1:10">
      <c r="A204" s="83" t="str">
        <f t="shared" si="3"/>
        <v xml:space="preserve"> </v>
      </c>
      <c r="C204" s="63" t="str">
        <f>IFERROR(LOOKUP(D204,SOCIO!B:B,SOCIO!A:A),"")</f>
        <v/>
      </c>
      <c r="F204" s="67" t="str">
        <f>IFERROR(LOOKUP(E204,CODIGOS!A:A,CODIGOS!B:B)," ")</f>
        <v xml:space="preserve"> </v>
      </c>
      <c r="H204" s="74" t="str">
        <f>IF(J204="SI",IFERROR(LOOKUP(E204,CODIGOS!A:A,CODIGOS!C:C)," "),IFERROR(LOOKUP(E204,CODIGOS!A:A,CODIGOS!D:D),""))</f>
        <v/>
      </c>
      <c r="J204" s="35" t="str">
        <f>IFERROR(LOOKUP(D204,SOCIO!B:B,SOCIO!C:C)," ")</f>
        <v xml:space="preserve"> </v>
      </c>
    </row>
    <row r="205" spans="1:10">
      <c r="A205" s="83" t="str">
        <f t="shared" si="3"/>
        <v xml:space="preserve"> </v>
      </c>
      <c r="C205" s="63" t="str">
        <f>IFERROR(LOOKUP(D205,SOCIO!B:B,SOCIO!A:A),"")</f>
        <v/>
      </c>
      <c r="F205" s="67" t="str">
        <f>IFERROR(LOOKUP(E205,CODIGOS!A:A,CODIGOS!B:B)," ")</f>
        <v xml:space="preserve"> </v>
      </c>
      <c r="H205" s="74" t="str">
        <f>IF(J205="SI",IFERROR(LOOKUP(E205,CODIGOS!A:A,CODIGOS!C:C)," "),IFERROR(LOOKUP(E205,CODIGOS!A:A,CODIGOS!D:D),""))</f>
        <v/>
      </c>
      <c r="J205" s="35" t="str">
        <f>IFERROR(LOOKUP(D205,SOCIO!B:B,SOCIO!C:C)," ")</f>
        <v xml:space="preserve"> </v>
      </c>
    </row>
    <row r="206" spans="1:10">
      <c r="A206" s="83" t="str">
        <f t="shared" si="3"/>
        <v xml:space="preserve"> </v>
      </c>
      <c r="C206" s="63" t="str">
        <f>IFERROR(LOOKUP(D206,SOCIO!B:B,SOCIO!A:A),"")</f>
        <v/>
      </c>
      <c r="F206" s="67" t="str">
        <f>IFERROR(LOOKUP(E206,CODIGOS!A:A,CODIGOS!B:B)," ")</f>
        <v xml:space="preserve"> </v>
      </c>
      <c r="H206" s="74" t="str">
        <f>IF(J206="SI",IFERROR(LOOKUP(E206,CODIGOS!A:A,CODIGOS!C:C)," "),IFERROR(LOOKUP(E206,CODIGOS!A:A,CODIGOS!D:D),""))</f>
        <v/>
      </c>
      <c r="J206" s="35" t="str">
        <f>IFERROR(LOOKUP(D206,SOCIO!B:B,SOCIO!C:C)," ")</f>
        <v xml:space="preserve"> </v>
      </c>
    </row>
    <row r="207" spans="1:10">
      <c r="A207" s="83" t="str">
        <f t="shared" si="3"/>
        <v xml:space="preserve"> </v>
      </c>
      <c r="C207" s="63" t="str">
        <f>IFERROR(LOOKUP(D207,SOCIO!B:B,SOCIO!A:A),"")</f>
        <v/>
      </c>
      <c r="F207" s="67" t="str">
        <f>IFERROR(LOOKUP(E207,CODIGOS!A:A,CODIGOS!B:B)," ")</f>
        <v xml:space="preserve"> </v>
      </c>
      <c r="H207" s="74" t="str">
        <f>IF(J207="SI",IFERROR(LOOKUP(E207,CODIGOS!A:A,CODIGOS!C:C)," "),IFERROR(LOOKUP(E207,CODIGOS!A:A,CODIGOS!D:D),""))</f>
        <v/>
      </c>
      <c r="J207" s="35" t="str">
        <f>IFERROR(LOOKUP(D207,SOCIO!B:B,SOCIO!C:C)," ")</f>
        <v xml:space="preserve"> </v>
      </c>
    </row>
    <row r="208" spans="1:10">
      <c r="A208" s="83" t="str">
        <f t="shared" si="3"/>
        <v xml:space="preserve"> </v>
      </c>
      <c r="C208" s="63" t="str">
        <f>IFERROR(LOOKUP(D208,SOCIO!B:B,SOCIO!A:A),"")</f>
        <v/>
      </c>
      <c r="F208" s="67" t="str">
        <f>IFERROR(LOOKUP(E208,CODIGOS!A:A,CODIGOS!B:B)," ")</f>
        <v xml:space="preserve"> </v>
      </c>
      <c r="H208" s="74" t="str">
        <f>IF(J208="SI",IFERROR(LOOKUP(E208,CODIGOS!A:A,CODIGOS!C:C)," "),IFERROR(LOOKUP(E208,CODIGOS!A:A,CODIGOS!D:D),""))</f>
        <v/>
      </c>
      <c r="J208" s="35" t="str">
        <f>IFERROR(LOOKUP(D208,SOCIO!B:B,SOCIO!C:C)," ")</f>
        <v xml:space="preserve"> </v>
      </c>
    </row>
    <row r="209" spans="1:10">
      <c r="A209" s="83" t="str">
        <f t="shared" si="3"/>
        <v xml:space="preserve"> </v>
      </c>
      <c r="C209" s="63" t="str">
        <f>IFERROR(LOOKUP(D209,SOCIO!B:B,SOCIO!A:A),"")</f>
        <v/>
      </c>
      <c r="F209" s="67" t="str">
        <f>IFERROR(LOOKUP(E209,CODIGOS!A:A,CODIGOS!B:B)," ")</f>
        <v xml:space="preserve"> </v>
      </c>
      <c r="H209" s="74" t="str">
        <f>IF(J209="SI",IFERROR(LOOKUP(E209,CODIGOS!A:A,CODIGOS!C:C)," "),IFERROR(LOOKUP(E209,CODIGOS!A:A,CODIGOS!D:D),""))</f>
        <v/>
      </c>
      <c r="J209" s="35" t="str">
        <f>IFERROR(LOOKUP(D209,SOCIO!B:B,SOCIO!C:C)," ")</f>
        <v xml:space="preserve"> </v>
      </c>
    </row>
    <row r="210" spans="1:10">
      <c r="A210" s="83" t="str">
        <f t="shared" si="3"/>
        <v xml:space="preserve"> </v>
      </c>
      <c r="C210" s="63" t="str">
        <f>IFERROR(LOOKUP(D210,SOCIO!B:B,SOCIO!A:A),"")</f>
        <v/>
      </c>
      <c r="F210" s="67" t="str">
        <f>IFERROR(LOOKUP(E210,CODIGOS!A:A,CODIGOS!B:B)," ")</f>
        <v xml:space="preserve"> </v>
      </c>
      <c r="H210" s="74" t="str">
        <f>IF(J210="SI",IFERROR(LOOKUP(E210,CODIGOS!A:A,CODIGOS!C:C)," "),IFERROR(LOOKUP(E210,CODIGOS!A:A,CODIGOS!D:D),""))</f>
        <v/>
      </c>
      <c r="J210" s="35" t="str">
        <f>IFERROR(LOOKUP(D210,SOCIO!B:B,SOCIO!C:C)," ")</f>
        <v xml:space="preserve"> </v>
      </c>
    </row>
    <row r="211" spans="1:10">
      <c r="A211" s="83" t="str">
        <f t="shared" si="3"/>
        <v xml:space="preserve"> </v>
      </c>
      <c r="C211" s="63" t="str">
        <f>IFERROR(LOOKUP(D211,SOCIO!B:B,SOCIO!A:A),"")</f>
        <v/>
      </c>
      <c r="F211" s="67" t="str">
        <f>IFERROR(LOOKUP(E211,CODIGOS!A:A,CODIGOS!B:B)," ")</f>
        <v xml:space="preserve"> </v>
      </c>
      <c r="H211" s="74" t="str">
        <f>IF(J211="SI",IFERROR(LOOKUP(E211,CODIGOS!A:A,CODIGOS!C:C)," "),IFERROR(LOOKUP(E211,CODIGOS!A:A,CODIGOS!D:D),""))</f>
        <v/>
      </c>
      <c r="J211" s="35" t="str">
        <f>IFERROR(LOOKUP(D211,SOCIO!B:B,SOCIO!C:C)," ")</f>
        <v xml:space="preserve"> </v>
      </c>
    </row>
    <row r="212" spans="1:10">
      <c r="A212" s="83" t="str">
        <f t="shared" si="3"/>
        <v xml:space="preserve"> </v>
      </c>
      <c r="C212" s="63" t="str">
        <f>IFERROR(LOOKUP(D212,SOCIO!B:B,SOCIO!A:A),"")</f>
        <v/>
      </c>
      <c r="F212" s="67" t="str">
        <f>IFERROR(LOOKUP(E212,CODIGOS!A:A,CODIGOS!B:B)," ")</f>
        <v xml:space="preserve"> </v>
      </c>
      <c r="H212" s="74" t="str">
        <f>IF(J212="SI",IFERROR(LOOKUP(E212,CODIGOS!A:A,CODIGOS!C:C)," "),IFERROR(LOOKUP(E212,CODIGOS!A:A,CODIGOS!D:D),""))</f>
        <v/>
      </c>
      <c r="J212" s="35" t="str">
        <f>IFERROR(LOOKUP(D212,SOCIO!B:B,SOCIO!C:C)," ")</f>
        <v xml:space="preserve"> </v>
      </c>
    </row>
    <row r="213" spans="1:10">
      <c r="A213" s="83" t="str">
        <f t="shared" si="3"/>
        <v xml:space="preserve"> </v>
      </c>
      <c r="C213" s="63" t="str">
        <f>IFERROR(LOOKUP(D213,SOCIO!B:B,SOCIO!A:A),"")</f>
        <v/>
      </c>
      <c r="F213" s="67" t="str">
        <f>IFERROR(LOOKUP(E213,CODIGOS!A:A,CODIGOS!B:B)," ")</f>
        <v xml:space="preserve"> </v>
      </c>
      <c r="H213" s="74" t="str">
        <f>IF(J213="SI",IFERROR(LOOKUP(E213,CODIGOS!A:A,CODIGOS!C:C)," "),IFERROR(LOOKUP(E213,CODIGOS!A:A,CODIGOS!D:D),""))</f>
        <v/>
      </c>
      <c r="J213" s="35" t="str">
        <f>IFERROR(LOOKUP(D213,SOCIO!B:B,SOCIO!C:C)," ")</f>
        <v xml:space="preserve"> </v>
      </c>
    </row>
    <row r="214" spans="1:10">
      <c r="A214" s="83" t="str">
        <f t="shared" si="3"/>
        <v xml:space="preserve"> </v>
      </c>
      <c r="C214" s="63" t="str">
        <f>IFERROR(LOOKUP(D214,SOCIO!B:B,SOCIO!A:A),"")</f>
        <v/>
      </c>
      <c r="F214" s="67" t="str">
        <f>IFERROR(LOOKUP(E214,CODIGOS!A:A,CODIGOS!B:B)," ")</f>
        <v xml:space="preserve"> </v>
      </c>
      <c r="H214" s="74" t="str">
        <f>IF(J214="SI",IFERROR(LOOKUP(E214,CODIGOS!A:A,CODIGOS!C:C)," "),IFERROR(LOOKUP(E214,CODIGOS!A:A,CODIGOS!D:D),""))</f>
        <v/>
      </c>
      <c r="J214" s="35" t="str">
        <f>IFERROR(LOOKUP(D214,SOCIO!B:B,SOCIO!C:C)," ")</f>
        <v xml:space="preserve"> </v>
      </c>
    </row>
    <row r="215" spans="1:10">
      <c r="A215" s="83" t="str">
        <f t="shared" si="3"/>
        <v xml:space="preserve"> </v>
      </c>
      <c r="C215" s="63" t="str">
        <f>IFERROR(LOOKUP(D215,SOCIO!B:B,SOCIO!A:A),"")</f>
        <v/>
      </c>
      <c r="F215" s="67" t="str">
        <f>IFERROR(LOOKUP(E215,CODIGOS!A:A,CODIGOS!B:B)," ")</f>
        <v xml:space="preserve"> </v>
      </c>
      <c r="H215" s="74" t="str">
        <f>IF(J215="SI",IFERROR(LOOKUP(E215,CODIGOS!A:A,CODIGOS!C:C)," "),IFERROR(LOOKUP(E215,CODIGOS!A:A,CODIGOS!D:D),""))</f>
        <v/>
      </c>
      <c r="J215" s="35" t="str">
        <f>IFERROR(LOOKUP(D215,SOCIO!B:B,SOCIO!C:C)," ")</f>
        <v xml:space="preserve"> </v>
      </c>
    </row>
    <row r="216" spans="1:10">
      <c r="A216" s="83" t="str">
        <f t="shared" si="3"/>
        <v xml:space="preserve"> </v>
      </c>
      <c r="C216" s="63" t="str">
        <f>IFERROR(LOOKUP(D216,SOCIO!B:B,SOCIO!A:A),"")</f>
        <v/>
      </c>
      <c r="F216" s="67" t="str">
        <f>IFERROR(LOOKUP(E216,CODIGOS!A:A,CODIGOS!B:B)," ")</f>
        <v xml:space="preserve"> </v>
      </c>
      <c r="H216" s="74" t="str">
        <f>IF(J216="SI",IFERROR(LOOKUP(E216,CODIGOS!A:A,CODIGOS!C:C)," "),IFERROR(LOOKUP(E216,CODIGOS!A:A,CODIGOS!D:D),""))</f>
        <v/>
      </c>
      <c r="J216" s="35" t="str">
        <f>IFERROR(LOOKUP(D216,SOCIO!B:B,SOCIO!C:C)," ")</f>
        <v xml:space="preserve"> </v>
      </c>
    </row>
    <row r="217" spans="1:10">
      <c r="A217" s="83" t="str">
        <f t="shared" si="3"/>
        <v xml:space="preserve"> </v>
      </c>
      <c r="C217" s="63" t="str">
        <f>IFERROR(LOOKUP(D217,SOCIO!B:B,SOCIO!A:A),"")</f>
        <v/>
      </c>
      <c r="F217" s="67" t="str">
        <f>IFERROR(LOOKUP(E217,CODIGOS!A:A,CODIGOS!B:B)," ")</f>
        <v xml:space="preserve"> </v>
      </c>
      <c r="H217" s="74" t="str">
        <f>IF(J217="SI",IFERROR(LOOKUP(E217,CODIGOS!A:A,CODIGOS!C:C)," "),IFERROR(LOOKUP(E217,CODIGOS!A:A,CODIGOS!D:D),""))</f>
        <v/>
      </c>
      <c r="J217" s="35" t="str">
        <f>IFERROR(LOOKUP(D217,SOCIO!B:B,SOCIO!C:C)," ")</f>
        <v xml:space="preserve"> </v>
      </c>
    </row>
    <row r="218" spans="1:10">
      <c r="A218" s="83" t="str">
        <f t="shared" si="3"/>
        <v xml:space="preserve"> </v>
      </c>
      <c r="C218" s="63" t="str">
        <f>IFERROR(LOOKUP(D218,SOCIO!B:B,SOCIO!A:A),"")</f>
        <v/>
      </c>
      <c r="F218" s="67" t="str">
        <f>IFERROR(LOOKUP(E218,CODIGOS!A:A,CODIGOS!B:B)," ")</f>
        <v xml:space="preserve"> </v>
      </c>
      <c r="H218" s="74" t="str">
        <f>IF(J218="SI",IFERROR(LOOKUP(E218,CODIGOS!A:A,CODIGOS!C:C)," "),IFERROR(LOOKUP(E218,CODIGOS!A:A,CODIGOS!D:D),""))</f>
        <v/>
      </c>
      <c r="J218" s="35" t="str">
        <f>IFERROR(LOOKUP(D218,SOCIO!B:B,SOCIO!C:C)," ")</f>
        <v xml:space="preserve"> </v>
      </c>
    </row>
    <row r="219" spans="1:10">
      <c r="A219" s="83" t="str">
        <f t="shared" si="3"/>
        <v xml:space="preserve"> </v>
      </c>
      <c r="C219" s="63" t="str">
        <f>IFERROR(LOOKUP(D219,SOCIO!B:B,SOCIO!A:A),"")</f>
        <v/>
      </c>
      <c r="F219" s="67" t="str">
        <f>IFERROR(LOOKUP(E219,CODIGOS!A:A,CODIGOS!B:B)," ")</f>
        <v xml:space="preserve"> </v>
      </c>
      <c r="H219" s="74" t="str">
        <f>IF(J219="SI",IFERROR(LOOKUP(E219,CODIGOS!A:A,CODIGOS!C:C)," "),IFERROR(LOOKUP(E219,CODIGOS!A:A,CODIGOS!D:D),""))</f>
        <v/>
      </c>
      <c r="J219" s="35" t="str">
        <f>IFERROR(LOOKUP(D219,SOCIO!B:B,SOCIO!C:C)," ")</f>
        <v xml:space="preserve"> </v>
      </c>
    </row>
    <row r="220" spans="1:10">
      <c r="A220" s="83" t="str">
        <f t="shared" si="3"/>
        <v xml:space="preserve"> </v>
      </c>
      <c r="C220" s="63" t="str">
        <f>IFERROR(LOOKUP(D220,SOCIO!B:B,SOCIO!A:A),"")</f>
        <v/>
      </c>
      <c r="F220" s="67" t="str">
        <f>IFERROR(LOOKUP(E220,CODIGOS!A:A,CODIGOS!B:B)," ")</f>
        <v xml:space="preserve"> </v>
      </c>
      <c r="H220" s="74" t="str">
        <f>IF(J220="SI",IFERROR(LOOKUP(E220,CODIGOS!A:A,CODIGOS!C:C)," "),IFERROR(LOOKUP(E220,CODIGOS!A:A,CODIGOS!D:D),""))</f>
        <v/>
      </c>
      <c r="J220" s="35" t="str">
        <f>IFERROR(LOOKUP(D220,SOCIO!B:B,SOCIO!C:C)," ")</f>
        <v xml:space="preserve"> </v>
      </c>
    </row>
    <row r="221" spans="1:10">
      <c r="A221" s="83" t="str">
        <f t="shared" si="3"/>
        <v xml:space="preserve"> </v>
      </c>
      <c r="C221" s="63" t="str">
        <f>IFERROR(LOOKUP(D221,SOCIO!B:B,SOCIO!A:A),"")</f>
        <v/>
      </c>
      <c r="F221" s="67" t="str">
        <f>IFERROR(LOOKUP(E221,CODIGOS!A:A,CODIGOS!B:B)," ")</f>
        <v xml:space="preserve"> </v>
      </c>
      <c r="H221" s="74" t="str">
        <f>IF(J221="SI",IFERROR(LOOKUP(E221,CODIGOS!A:A,CODIGOS!C:C)," "),IFERROR(LOOKUP(E221,CODIGOS!A:A,CODIGOS!D:D),""))</f>
        <v/>
      </c>
      <c r="J221" s="35" t="str">
        <f>IFERROR(LOOKUP(D221,SOCIO!B:B,SOCIO!C:C)," ")</f>
        <v xml:space="preserve"> </v>
      </c>
    </row>
    <row r="222" spans="1:10">
      <c r="A222" s="83" t="str">
        <f t="shared" si="3"/>
        <v xml:space="preserve"> </v>
      </c>
      <c r="C222" s="63" t="str">
        <f>IFERROR(LOOKUP(D222,SOCIO!B:B,SOCIO!A:A),"")</f>
        <v/>
      </c>
      <c r="F222" s="67" t="str">
        <f>IFERROR(LOOKUP(E222,CODIGOS!A:A,CODIGOS!B:B)," ")</f>
        <v xml:space="preserve"> </v>
      </c>
      <c r="H222" s="74" t="str">
        <f>IF(J222="SI",IFERROR(LOOKUP(E222,CODIGOS!A:A,CODIGOS!C:C)," "),IFERROR(LOOKUP(E222,CODIGOS!A:A,CODIGOS!D:D),""))</f>
        <v/>
      </c>
      <c r="J222" s="35" t="str">
        <f>IFERROR(LOOKUP(D222,SOCIO!B:B,SOCIO!C:C)," ")</f>
        <v xml:space="preserve"> </v>
      </c>
    </row>
    <row r="223" spans="1:10">
      <c r="A223" s="83" t="str">
        <f t="shared" si="3"/>
        <v xml:space="preserve"> </v>
      </c>
      <c r="C223" s="63" t="str">
        <f>IFERROR(LOOKUP(D223,SOCIO!B:B,SOCIO!A:A),"")</f>
        <v/>
      </c>
      <c r="F223" s="67" t="str">
        <f>IFERROR(LOOKUP(E223,CODIGOS!A:A,CODIGOS!B:B)," ")</f>
        <v xml:space="preserve"> </v>
      </c>
      <c r="H223" s="74" t="str">
        <f>IF(J223="SI",IFERROR(LOOKUP(E223,CODIGOS!A:A,CODIGOS!C:C)," "),IFERROR(LOOKUP(E223,CODIGOS!A:A,CODIGOS!D:D),""))</f>
        <v/>
      </c>
      <c r="J223" s="35" t="str">
        <f>IFERROR(LOOKUP(D223,SOCIO!B:B,SOCIO!C:C)," ")</f>
        <v xml:space="preserve"> </v>
      </c>
    </row>
    <row r="224" spans="1:10">
      <c r="A224" s="83" t="str">
        <f t="shared" si="3"/>
        <v xml:space="preserve"> </v>
      </c>
      <c r="C224" s="63" t="str">
        <f>IFERROR(LOOKUP(D224,SOCIO!B:B,SOCIO!A:A),"")</f>
        <v/>
      </c>
      <c r="F224" s="67" t="str">
        <f>IFERROR(LOOKUP(E224,CODIGOS!A:A,CODIGOS!B:B)," ")</f>
        <v xml:space="preserve"> </v>
      </c>
      <c r="H224" s="74" t="str">
        <f>IF(J224="SI",IFERROR(LOOKUP(E224,CODIGOS!A:A,CODIGOS!C:C)," "),IFERROR(LOOKUP(E224,CODIGOS!A:A,CODIGOS!D:D),""))</f>
        <v/>
      </c>
      <c r="J224" s="35" t="str">
        <f>IFERROR(LOOKUP(D224,SOCIO!B:B,SOCIO!C:C)," ")</f>
        <v xml:space="preserve"> </v>
      </c>
    </row>
    <row r="225" spans="1:10">
      <c r="A225" s="83" t="str">
        <f t="shared" si="3"/>
        <v xml:space="preserve"> </v>
      </c>
      <c r="C225" s="63" t="str">
        <f>IFERROR(LOOKUP(D225,SOCIO!B:B,SOCIO!A:A),"")</f>
        <v/>
      </c>
      <c r="F225" s="67" t="str">
        <f>IFERROR(LOOKUP(E225,CODIGOS!A:A,CODIGOS!B:B)," ")</f>
        <v xml:space="preserve"> </v>
      </c>
      <c r="H225" s="74" t="str">
        <f>IF(J225="SI",IFERROR(LOOKUP(E225,CODIGOS!A:A,CODIGOS!C:C)," "),IFERROR(LOOKUP(E225,CODIGOS!A:A,CODIGOS!D:D),""))</f>
        <v/>
      </c>
      <c r="J225" s="35" t="str">
        <f>IFERROR(LOOKUP(D225,SOCIO!B:B,SOCIO!C:C)," ")</f>
        <v xml:space="preserve"> </v>
      </c>
    </row>
    <row r="226" spans="1:10">
      <c r="A226" s="83" t="str">
        <f t="shared" si="3"/>
        <v xml:space="preserve"> </v>
      </c>
      <c r="C226" s="63" t="str">
        <f>IFERROR(LOOKUP(D226,SOCIO!B:B,SOCIO!A:A),"")</f>
        <v/>
      </c>
      <c r="F226" s="67" t="str">
        <f>IFERROR(LOOKUP(E226,CODIGOS!A:A,CODIGOS!B:B)," ")</f>
        <v xml:space="preserve"> </v>
      </c>
      <c r="H226" s="74" t="str">
        <f>IF(J226="SI",IFERROR(LOOKUP(E226,CODIGOS!A:A,CODIGOS!C:C)," "),IFERROR(LOOKUP(E226,CODIGOS!A:A,CODIGOS!D:D),""))</f>
        <v/>
      </c>
      <c r="J226" s="35" t="str">
        <f>IFERROR(LOOKUP(D226,SOCIO!B:B,SOCIO!C:C)," ")</f>
        <v xml:space="preserve"> </v>
      </c>
    </row>
    <row r="227" spans="1:10">
      <c r="A227" s="83" t="str">
        <f t="shared" si="3"/>
        <v xml:space="preserve"> </v>
      </c>
      <c r="C227" s="63" t="str">
        <f>IFERROR(LOOKUP(D227,SOCIO!B:B,SOCIO!A:A),"")</f>
        <v/>
      </c>
      <c r="F227" s="67" t="str">
        <f>IFERROR(LOOKUP(E227,CODIGOS!A:A,CODIGOS!B:B)," ")</f>
        <v xml:space="preserve"> </v>
      </c>
      <c r="H227" s="74" t="str">
        <f>IF(J227="SI",IFERROR(LOOKUP(E227,CODIGOS!A:A,CODIGOS!C:C)," "),IFERROR(LOOKUP(E227,CODIGOS!A:A,CODIGOS!D:D),""))</f>
        <v/>
      </c>
      <c r="J227" s="35" t="str">
        <f>IFERROR(LOOKUP(D227,SOCIO!B:B,SOCIO!C:C)," ")</f>
        <v xml:space="preserve"> </v>
      </c>
    </row>
    <row r="228" spans="1:10">
      <c r="A228" s="83" t="str">
        <f t="shared" si="3"/>
        <v xml:space="preserve"> </v>
      </c>
      <c r="C228" s="63" t="str">
        <f>IFERROR(LOOKUP(D228,SOCIO!B:B,SOCIO!A:A),"")</f>
        <v/>
      </c>
      <c r="F228" s="67" t="str">
        <f>IFERROR(LOOKUP(E228,CODIGOS!A:A,CODIGOS!B:B)," ")</f>
        <v xml:space="preserve"> </v>
      </c>
      <c r="H228" s="74" t="str">
        <f>IF(J228="SI",IFERROR(LOOKUP(E228,CODIGOS!A:A,CODIGOS!C:C)," "),IFERROR(LOOKUP(E228,CODIGOS!A:A,CODIGOS!D:D),""))</f>
        <v/>
      </c>
      <c r="J228" s="35" t="str">
        <f>IFERROR(LOOKUP(D228,SOCIO!B:B,SOCIO!C:C)," ")</f>
        <v xml:space="preserve"> </v>
      </c>
    </row>
    <row r="229" spans="1:10">
      <c r="A229" s="83" t="str">
        <f t="shared" si="3"/>
        <v xml:space="preserve"> </v>
      </c>
      <c r="C229" s="63" t="str">
        <f>IFERROR(LOOKUP(D229,SOCIO!B:B,SOCIO!A:A),"")</f>
        <v/>
      </c>
      <c r="F229" s="67" t="str">
        <f>IFERROR(LOOKUP(E229,CODIGOS!A:A,CODIGOS!B:B)," ")</f>
        <v xml:space="preserve"> </v>
      </c>
      <c r="H229" s="74" t="str">
        <f>IF(J229="SI",IFERROR(LOOKUP(E229,CODIGOS!A:A,CODIGOS!C:C)," "),IFERROR(LOOKUP(E229,CODIGOS!A:A,CODIGOS!D:D),""))</f>
        <v/>
      </c>
      <c r="J229" s="35" t="str">
        <f>IFERROR(LOOKUP(D229,SOCIO!B:B,SOCIO!C:C)," ")</f>
        <v xml:space="preserve"> </v>
      </c>
    </row>
    <row r="230" spans="1:10">
      <c r="A230" s="83" t="str">
        <f t="shared" si="3"/>
        <v xml:space="preserve"> </v>
      </c>
      <c r="C230" s="63" t="str">
        <f>IFERROR(LOOKUP(D230,SOCIO!B:B,SOCIO!A:A),"")</f>
        <v/>
      </c>
      <c r="F230" s="67" t="str">
        <f>IFERROR(LOOKUP(E230,CODIGOS!A:A,CODIGOS!B:B)," ")</f>
        <v xml:space="preserve"> </v>
      </c>
      <c r="H230" s="74" t="str">
        <f>IF(J230="SI",IFERROR(LOOKUP(E230,CODIGOS!A:A,CODIGOS!C:C)," "),IFERROR(LOOKUP(E230,CODIGOS!A:A,CODIGOS!D:D),""))</f>
        <v/>
      </c>
      <c r="J230" s="35" t="str">
        <f>IFERROR(LOOKUP(D230,SOCIO!B:B,SOCIO!C:C)," ")</f>
        <v xml:space="preserve"> </v>
      </c>
    </row>
    <row r="231" spans="1:10">
      <c r="A231" s="83" t="str">
        <f t="shared" si="3"/>
        <v xml:space="preserve"> </v>
      </c>
      <c r="C231" s="63" t="str">
        <f>IFERROR(LOOKUP(D231,SOCIO!B:B,SOCIO!A:A),"")</f>
        <v/>
      </c>
      <c r="F231" s="67" t="str">
        <f>IFERROR(LOOKUP(E231,CODIGOS!A:A,CODIGOS!B:B)," ")</f>
        <v xml:space="preserve"> </v>
      </c>
      <c r="H231" s="74" t="str">
        <f>IF(J231="SI",IFERROR(LOOKUP(E231,CODIGOS!A:A,CODIGOS!C:C)," "),IFERROR(LOOKUP(E231,CODIGOS!A:A,CODIGOS!D:D),""))</f>
        <v/>
      </c>
      <c r="J231" s="35" t="str">
        <f>IFERROR(LOOKUP(D231,SOCIO!B:B,SOCIO!C:C)," ")</f>
        <v xml:space="preserve"> </v>
      </c>
    </row>
    <row r="232" spans="1:10">
      <c r="A232" s="83" t="str">
        <f t="shared" si="3"/>
        <v xml:space="preserve"> </v>
      </c>
      <c r="C232" s="63" t="str">
        <f>IFERROR(LOOKUP(D232,SOCIO!B:B,SOCIO!A:A),"")</f>
        <v/>
      </c>
      <c r="F232" s="67" t="str">
        <f>IFERROR(LOOKUP(E232,CODIGOS!A:A,CODIGOS!B:B)," ")</f>
        <v xml:space="preserve"> </v>
      </c>
      <c r="H232" s="74" t="str">
        <f>IF(J232="SI",IFERROR(LOOKUP(E232,CODIGOS!A:A,CODIGOS!C:C)," "),IFERROR(LOOKUP(E232,CODIGOS!A:A,CODIGOS!D:D),""))</f>
        <v/>
      </c>
      <c r="J232" s="35" t="str">
        <f>IFERROR(LOOKUP(D232,SOCIO!B:B,SOCIO!C:C)," ")</f>
        <v xml:space="preserve"> </v>
      </c>
    </row>
    <row r="233" spans="1:10">
      <c r="A233" s="83" t="str">
        <f t="shared" si="3"/>
        <v xml:space="preserve"> </v>
      </c>
      <c r="C233" s="63" t="str">
        <f>IFERROR(LOOKUP(D233,SOCIO!B:B,SOCIO!A:A),"")</f>
        <v/>
      </c>
      <c r="F233" s="67" t="str">
        <f>IFERROR(LOOKUP(E233,CODIGOS!A:A,CODIGOS!B:B)," ")</f>
        <v xml:space="preserve"> </v>
      </c>
      <c r="H233" s="74" t="str">
        <f>IF(J233="SI",IFERROR(LOOKUP(E233,CODIGOS!A:A,CODIGOS!C:C)," "),IFERROR(LOOKUP(E233,CODIGOS!A:A,CODIGOS!D:D),""))</f>
        <v/>
      </c>
      <c r="J233" s="35" t="str">
        <f>IFERROR(LOOKUP(D233,SOCIO!B:B,SOCIO!C:C)," ")</f>
        <v xml:space="preserve"> </v>
      </c>
    </row>
    <row r="234" spans="1:10">
      <c r="A234" s="83" t="str">
        <f t="shared" si="3"/>
        <v xml:space="preserve"> </v>
      </c>
      <c r="C234" s="63" t="str">
        <f>IFERROR(LOOKUP(D234,SOCIO!B:B,SOCIO!A:A),"")</f>
        <v/>
      </c>
      <c r="F234" s="67" t="str">
        <f>IFERROR(LOOKUP(E234,CODIGOS!A:A,CODIGOS!B:B)," ")</f>
        <v xml:space="preserve"> </v>
      </c>
      <c r="H234" s="74" t="str">
        <f>IF(J234="SI",IFERROR(LOOKUP(E234,CODIGOS!A:A,CODIGOS!C:C)," "),IFERROR(LOOKUP(E234,CODIGOS!A:A,CODIGOS!D:D),""))</f>
        <v/>
      </c>
      <c r="J234" s="35" t="str">
        <f>IFERROR(LOOKUP(D234,SOCIO!B:B,SOCIO!C:C)," ")</f>
        <v xml:space="preserve"> </v>
      </c>
    </row>
    <row r="235" spans="1:10">
      <c r="A235" s="83" t="str">
        <f t="shared" si="3"/>
        <v xml:space="preserve"> </v>
      </c>
      <c r="C235" s="63" t="str">
        <f>IFERROR(LOOKUP(D235,SOCIO!B:B,SOCIO!A:A),"")</f>
        <v/>
      </c>
      <c r="F235" s="67" t="str">
        <f>IFERROR(LOOKUP(E235,CODIGOS!A:A,CODIGOS!B:B)," ")</f>
        <v xml:space="preserve"> </v>
      </c>
      <c r="H235" s="74" t="str">
        <f>IF(J235="SI",IFERROR(LOOKUP(E235,CODIGOS!A:A,CODIGOS!C:C)," "),IFERROR(LOOKUP(E235,CODIGOS!A:A,CODIGOS!D:D),""))</f>
        <v/>
      </c>
      <c r="J235" s="35" t="str">
        <f>IFERROR(LOOKUP(D235,SOCIO!B:B,SOCIO!C:C)," ")</f>
        <v xml:space="preserve"> </v>
      </c>
    </row>
    <row r="236" spans="1:10">
      <c r="A236" s="83" t="str">
        <f t="shared" si="3"/>
        <v xml:space="preserve"> </v>
      </c>
      <c r="C236" s="63" t="str">
        <f>IFERROR(LOOKUP(D236,SOCIO!B:B,SOCIO!A:A),"")</f>
        <v/>
      </c>
      <c r="F236" s="67" t="str">
        <f>IFERROR(LOOKUP(E236,CODIGOS!A:A,CODIGOS!B:B)," ")</f>
        <v xml:space="preserve"> </v>
      </c>
      <c r="H236" s="74" t="str">
        <f>IF(J236="SI",IFERROR(LOOKUP(E236,CODIGOS!A:A,CODIGOS!C:C)," "),IFERROR(LOOKUP(E236,CODIGOS!A:A,CODIGOS!D:D),""))</f>
        <v/>
      </c>
      <c r="J236" s="35" t="str">
        <f>IFERROR(LOOKUP(D236,SOCIO!B:B,SOCIO!C:C)," ")</f>
        <v xml:space="preserve"> </v>
      </c>
    </row>
    <row r="237" spans="1:10">
      <c r="A237" s="83" t="str">
        <f t="shared" si="3"/>
        <v xml:space="preserve"> </v>
      </c>
      <c r="C237" s="63" t="str">
        <f>IFERROR(LOOKUP(D237,SOCIO!B:B,SOCIO!A:A),"")</f>
        <v/>
      </c>
      <c r="F237" s="67" t="str">
        <f>IFERROR(LOOKUP(E237,CODIGOS!A:A,CODIGOS!B:B)," ")</f>
        <v xml:space="preserve"> </v>
      </c>
      <c r="H237" s="74" t="str">
        <f>IF(J237="SI",IFERROR(LOOKUP(E237,CODIGOS!A:A,CODIGOS!C:C)," "),IFERROR(LOOKUP(E237,CODIGOS!A:A,CODIGOS!D:D),""))</f>
        <v/>
      </c>
      <c r="J237" s="35" t="str">
        <f>IFERROR(LOOKUP(D237,SOCIO!B:B,SOCIO!C:C)," ")</f>
        <v xml:space="preserve"> </v>
      </c>
    </row>
    <row r="238" spans="1:10">
      <c r="A238" s="83" t="str">
        <f t="shared" si="3"/>
        <v xml:space="preserve"> </v>
      </c>
      <c r="C238" s="63" t="str">
        <f>IFERROR(LOOKUP(D238,SOCIO!B:B,SOCIO!A:A),"")</f>
        <v/>
      </c>
      <c r="F238" s="67" t="str">
        <f>IFERROR(LOOKUP(E238,CODIGOS!A:A,CODIGOS!B:B)," ")</f>
        <v xml:space="preserve"> </v>
      </c>
      <c r="H238" s="74" t="str">
        <f>IF(J238="SI",IFERROR(LOOKUP(E238,CODIGOS!A:A,CODIGOS!C:C)," "),IFERROR(LOOKUP(E238,CODIGOS!A:A,CODIGOS!D:D),""))</f>
        <v/>
      </c>
      <c r="J238" s="35" t="str">
        <f>IFERROR(LOOKUP(D238,SOCIO!B:B,SOCIO!C:C)," ")</f>
        <v xml:space="preserve"> </v>
      </c>
    </row>
    <row r="239" spans="1:10">
      <c r="A239" s="83" t="str">
        <f t="shared" si="3"/>
        <v xml:space="preserve"> </v>
      </c>
      <c r="C239" s="63" t="str">
        <f>IFERROR(LOOKUP(D239,SOCIO!B:B,SOCIO!A:A),"")</f>
        <v/>
      </c>
      <c r="F239" s="67" t="str">
        <f>IFERROR(LOOKUP(E239,CODIGOS!A:A,CODIGOS!B:B)," ")</f>
        <v xml:space="preserve"> </v>
      </c>
      <c r="H239" s="74" t="str">
        <f>IF(J239="SI",IFERROR(LOOKUP(E239,CODIGOS!A:A,CODIGOS!C:C)," "),IFERROR(LOOKUP(E239,CODIGOS!A:A,CODIGOS!D:D),""))</f>
        <v/>
      </c>
      <c r="J239" s="35" t="str">
        <f>IFERROR(LOOKUP(D239,SOCIO!B:B,SOCIO!C:C)," ")</f>
        <v xml:space="preserve"> </v>
      </c>
    </row>
    <row r="240" spans="1:10">
      <c r="A240" s="83" t="str">
        <f t="shared" si="3"/>
        <v xml:space="preserve"> </v>
      </c>
      <c r="C240" s="63" t="str">
        <f>IFERROR(LOOKUP(D240,SOCIO!B:B,SOCIO!A:A),"")</f>
        <v/>
      </c>
      <c r="F240" s="67" t="str">
        <f>IFERROR(LOOKUP(E240,CODIGOS!A:A,CODIGOS!B:B)," ")</f>
        <v xml:space="preserve"> </v>
      </c>
      <c r="H240" s="74" t="str">
        <f>IF(J240="SI",IFERROR(LOOKUP(E240,CODIGOS!A:A,CODIGOS!C:C)," "),IFERROR(LOOKUP(E240,CODIGOS!A:A,CODIGOS!D:D),""))</f>
        <v/>
      </c>
      <c r="J240" s="35" t="str">
        <f>IFERROR(LOOKUP(D240,SOCIO!B:B,SOCIO!C:C)," ")</f>
        <v xml:space="preserve"> </v>
      </c>
    </row>
    <row r="241" spans="1:10">
      <c r="A241" s="83" t="str">
        <f t="shared" si="3"/>
        <v xml:space="preserve"> </v>
      </c>
      <c r="C241" s="63" t="str">
        <f>IFERROR(LOOKUP(D241,SOCIO!B:B,SOCIO!A:A),"")</f>
        <v/>
      </c>
      <c r="F241" s="67" t="str">
        <f>IFERROR(LOOKUP(E241,CODIGOS!A:A,CODIGOS!B:B)," ")</f>
        <v xml:space="preserve"> </v>
      </c>
      <c r="H241" s="74" t="str">
        <f>IF(J241="SI",IFERROR(LOOKUP(E241,CODIGOS!A:A,CODIGOS!C:C)," "),IFERROR(LOOKUP(E241,CODIGOS!A:A,CODIGOS!D:D),""))</f>
        <v/>
      </c>
      <c r="J241" s="35" t="str">
        <f>IFERROR(LOOKUP(D241,SOCIO!B:B,SOCIO!C:C)," ")</f>
        <v xml:space="preserve"> </v>
      </c>
    </row>
    <row r="242" spans="1:10">
      <c r="A242" s="83" t="str">
        <f t="shared" si="3"/>
        <v xml:space="preserve"> </v>
      </c>
      <c r="C242" s="63" t="str">
        <f>IFERROR(LOOKUP(D242,SOCIO!B:B,SOCIO!A:A),"")</f>
        <v/>
      </c>
      <c r="F242" s="67" t="str">
        <f>IFERROR(LOOKUP(E242,CODIGOS!A:A,CODIGOS!B:B)," ")</f>
        <v xml:space="preserve"> </v>
      </c>
      <c r="H242" s="74" t="str">
        <f>IF(J242="SI",IFERROR(LOOKUP(E242,CODIGOS!A:A,CODIGOS!C:C)," "),IFERROR(LOOKUP(E242,CODIGOS!A:A,CODIGOS!D:D),""))</f>
        <v/>
      </c>
      <c r="J242" s="35" t="str">
        <f>IFERROR(LOOKUP(D242,SOCIO!B:B,SOCIO!C:C)," ")</f>
        <v xml:space="preserve"> </v>
      </c>
    </row>
    <row r="243" spans="1:10">
      <c r="A243" s="83" t="str">
        <f t="shared" si="3"/>
        <v xml:space="preserve"> </v>
      </c>
      <c r="C243" s="63" t="str">
        <f>IFERROR(LOOKUP(D243,SOCIO!B:B,SOCIO!A:A),"")</f>
        <v/>
      </c>
      <c r="F243" s="67" t="str">
        <f>IFERROR(LOOKUP(E243,CODIGOS!A:A,CODIGOS!B:B)," ")</f>
        <v xml:space="preserve"> </v>
      </c>
      <c r="H243" s="74" t="str">
        <f>IF(J243="SI",IFERROR(LOOKUP(E243,CODIGOS!A:A,CODIGOS!C:C)," "),IFERROR(LOOKUP(E243,CODIGOS!A:A,CODIGOS!D:D),""))</f>
        <v/>
      </c>
      <c r="J243" s="35" t="str">
        <f>IFERROR(LOOKUP(D243,SOCIO!B:B,SOCIO!C:C)," ")</f>
        <v xml:space="preserve"> </v>
      </c>
    </row>
    <row r="244" spans="1:10">
      <c r="A244" s="83" t="str">
        <f t="shared" si="3"/>
        <v xml:space="preserve"> </v>
      </c>
      <c r="C244" s="63" t="str">
        <f>IFERROR(LOOKUP(D244,SOCIO!B:B,SOCIO!A:A),"")</f>
        <v/>
      </c>
      <c r="F244" s="67" t="str">
        <f>IFERROR(LOOKUP(E244,CODIGOS!A:A,CODIGOS!B:B)," ")</f>
        <v xml:space="preserve"> </v>
      </c>
      <c r="H244" s="74" t="str">
        <f>IF(J244="SI",IFERROR(LOOKUP(E244,CODIGOS!A:A,CODIGOS!C:C)," "),IFERROR(LOOKUP(E244,CODIGOS!A:A,CODIGOS!D:D),""))</f>
        <v/>
      </c>
      <c r="J244" s="35" t="str">
        <f>IFERROR(LOOKUP(D244,SOCIO!B:B,SOCIO!C:C)," ")</f>
        <v xml:space="preserve"> </v>
      </c>
    </row>
    <row r="245" spans="1:10">
      <c r="A245" s="83" t="str">
        <f t="shared" si="3"/>
        <v xml:space="preserve"> </v>
      </c>
      <c r="C245" s="63" t="str">
        <f>IFERROR(LOOKUP(D245,SOCIO!B:B,SOCIO!A:A),"")</f>
        <v/>
      </c>
      <c r="F245" s="67" t="str">
        <f>IFERROR(LOOKUP(E245,CODIGOS!A:A,CODIGOS!B:B)," ")</f>
        <v xml:space="preserve"> </v>
      </c>
      <c r="H245" s="74" t="str">
        <f>IF(J245="SI",IFERROR(LOOKUP(E245,CODIGOS!A:A,CODIGOS!C:C)," "),IFERROR(LOOKUP(E245,CODIGOS!A:A,CODIGOS!D:D),""))</f>
        <v/>
      </c>
      <c r="J245" s="35" t="str">
        <f>IFERROR(LOOKUP(D245,SOCIO!B:B,SOCIO!C:C)," ")</f>
        <v xml:space="preserve"> </v>
      </c>
    </row>
    <row r="246" spans="1:10">
      <c r="A246" s="83" t="str">
        <f t="shared" si="3"/>
        <v xml:space="preserve"> </v>
      </c>
      <c r="C246" s="63" t="str">
        <f>IFERROR(LOOKUP(D246,SOCIO!B:B,SOCIO!A:A),"")</f>
        <v/>
      </c>
      <c r="F246" s="67" t="str">
        <f>IFERROR(LOOKUP(E246,CODIGOS!A:A,CODIGOS!B:B)," ")</f>
        <v xml:space="preserve"> </v>
      </c>
      <c r="H246" s="74" t="str">
        <f>IF(J246="SI",IFERROR(LOOKUP(E246,CODIGOS!A:A,CODIGOS!C:C)," "),IFERROR(LOOKUP(E246,CODIGOS!A:A,CODIGOS!D:D),""))</f>
        <v/>
      </c>
      <c r="J246" s="35" t="str">
        <f>IFERROR(LOOKUP(D246,SOCIO!B:B,SOCIO!C:C)," ")</f>
        <v xml:space="preserve"> </v>
      </c>
    </row>
    <row r="247" spans="1:10">
      <c r="A247" s="83" t="str">
        <f t="shared" si="3"/>
        <v xml:space="preserve"> </v>
      </c>
      <c r="C247" s="63" t="str">
        <f>IFERROR(LOOKUP(D247,SOCIO!B:B,SOCIO!A:A),"")</f>
        <v/>
      </c>
      <c r="F247" s="67" t="str">
        <f>IFERROR(LOOKUP(E247,CODIGOS!A:A,CODIGOS!B:B)," ")</f>
        <v xml:space="preserve"> </v>
      </c>
      <c r="H247" s="74" t="str">
        <f>IF(J247="SI",IFERROR(LOOKUP(E247,CODIGOS!A:A,CODIGOS!C:C)," "),IFERROR(LOOKUP(E247,CODIGOS!A:A,CODIGOS!D:D),""))</f>
        <v/>
      </c>
      <c r="J247" s="35" t="str">
        <f>IFERROR(LOOKUP(D247,SOCIO!B:B,SOCIO!C:C)," ")</f>
        <v xml:space="preserve"> </v>
      </c>
    </row>
    <row r="248" spans="1:10">
      <c r="A248" s="83" t="str">
        <f t="shared" si="3"/>
        <v xml:space="preserve"> </v>
      </c>
      <c r="C248" s="63" t="str">
        <f>IFERROR(LOOKUP(D248,SOCIO!B:B,SOCIO!A:A),"")</f>
        <v/>
      </c>
      <c r="F248" s="67" t="str">
        <f>IFERROR(LOOKUP(E248,CODIGOS!A:A,CODIGOS!B:B)," ")</f>
        <v xml:space="preserve"> </v>
      </c>
      <c r="H248" s="74" t="str">
        <f>IF(J248="SI",IFERROR(LOOKUP(E248,CODIGOS!A:A,CODIGOS!C:C)," "),IFERROR(LOOKUP(E248,CODIGOS!A:A,CODIGOS!D:D),""))</f>
        <v/>
      </c>
      <c r="J248" s="35" t="str">
        <f>IFERROR(LOOKUP(D248,SOCIO!B:B,SOCIO!C:C)," ")</f>
        <v xml:space="preserve"> </v>
      </c>
    </row>
    <row r="249" spans="1:10">
      <c r="A249" s="83" t="str">
        <f t="shared" si="3"/>
        <v xml:space="preserve"> </v>
      </c>
      <c r="C249" s="63" t="str">
        <f>IFERROR(LOOKUP(D249,SOCIO!B:B,SOCIO!A:A),"")</f>
        <v/>
      </c>
      <c r="F249" s="67" t="str">
        <f>IFERROR(LOOKUP(E249,CODIGOS!A:A,CODIGOS!B:B)," ")</f>
        <v xml:space="preserve"> </v>
      </c>
      <c r="H249" s="74" t="str">
        <f>IF(J249="SI",IFERROR(LOOKUP(E249,CODIGOS!A:A,CODIGOS!C:C)," "),IFERROR(LOOKUP(E249,CODIGOS!A:A,CODIGOS!D:D),""))</f>
        <v/>
      </c>
      <c r="J249" s="35" t="str">
        <f>IFERROR(LOOKUP(D249,SOCIO!B:B,SOCIO!C:C)," ")</f>
        <v xml:space="preserve"> </v>
      </c>
    </row>
    <row r="250" spans="1:10">
      <c r="A250" s="83" t="str">
        <f t="shared" si="3"/>
        <v xml:space="preserve"> </v>
      </c>
      <c r="C250" s="63" t="str">
        <f>IFERROR(LOOKUP(D250,SOCIO!B:B,SOCIO!A:A),"")</f>
        <v/>
      </c>
      <c r="F250" s="67" t="str">
        <f>IFERROR(LOOKUP(E250,CODIGOS!A:A,CODIGOS!B:B)," ")</f>
        <v xml:space="preserve"> </v>
      </c>
      <c r="H250" s="74" t="str">
        <f>IF(J250="SI",IFERROR(LOOKUP(E250,CODIGOS!A:A,CODIGOS!C:C)," "),IFERROR(LOOKUP(E250,CODIGOS!A:A,CODIGOS!D:D),""))</f>
        <v/>
      </c>
      <c r="J250" s="35" t="str">
        <f>IFERROR(LOOKUP(D250,SOCIO!B:B,SOCIO!C:C)," ")</f>
        <v xml:space="preserve"> </v>
      </c>
    </row>
    <row r="251" spans="1:10">
      <c r="A251" s="83" t="str">
        <f t="shared" si="3"/>
        <v xml:space="preserve"> </v>
      </c>
      <c r="C251" s="63" t="str">
        <f>IFERROR(LOOKUP(D251,SOCIO!B:B,SOCIO!A:A),"")</f>
        <v/>
      </c>
      <c r="F251" s="67" t="str">
        <f>IFERROR(LOOKUP(E251,CODIGOS!A:A,CODIGOS!B:B)," ")</f>
        <v xml:space="preserve"> </v>
      </c>
      <c r="H251" s="74" t="str">
        <f>IF(J251="SI",IFERROR(LOOKUP(E251,CODIGOS!A:A,CODIGOS!C:C)," "),IFERROR(LOOKUP(E251,CODIGOS!A:A,CODIGOS!D:D),""))</f>
        <v/>
      </c>
      <c r="J251" s="35" t="str">
        <f>IFERROR(LOOKUP(D251,SOCIO!B:B,SOCIO!C:C)," ")</f>
        <v xml:space="preserve"> </v>
      </c>
    </row>
    <row r="252" spans="1:10">
      <c r="A252" s="83" t="str">
        <f t="shared" si="3"/>
        <v xml:space="preserve"> </v>
      </c>
      <c r="C252" s="63" t="str">
        <f>IFERROR(LOOKUP(D252,SOCIO!B:B,SOCIO!A:A),"")</f>
        <v/>
      </c>
      <c r="F252" s="67" t="str">
        <f>IFERROR(LOOKUP(E252,CODIGOS!A:A,CODIGOS!B:B)," ")</f>
        <v xml:space="preserve"> </v>
      </c>
      <c r="H252" s="74" t="str">
        <f>IF(J252="SI",IFERROR(LOOKUP(E252,CODIGOS!A:A,CODIGOS!C:C)," "),IFERROR(LOOKUP(E252,CODIGOS!A:A,CODIGOS!D:D),""))</f>
        <v/>
      </c>
      <c r="J252" s="35" t="str">
        <f>IFERROR(LOOKUP(D252,SOCIO!B:B,SOCIO!C:C)," ")</f>
        <v xml:space="preserve"> </v>
      </c>
    </row>
    <row r="253" spans="1:10">
      <c r="A253" s="83" t="str">
        <f t="shared" si="3"/>
        <v xml:space="preserve"> </v>
      </c>
      <c r="C253" s="63" t="str">
        <f>IFERROR(LOOKUP(D253,SOCIO!B:B,SOCIO!A:A),"")</f>
        <v/>
      </c>
      <c r="F253" s="67" t="str">
        <f>IFERROR(LOOKUP(E253,CODIGOS!A:A,CODIGOS!B:B)," ")</f>
        <v xml:space="preserve"> </v>
      </c>
      <c r="H253" s="74" t="str">
        <f>IF(J253="SI",IFERROR(LOOKUP(E253,CODIGOS!A:A,CODIGOS!C:C)," "),IFERROR(LOOKUP(E253,CODIGOS!A:A,CODIGOS!D:D),""))</f>
        <v/>
      </c>
      <c r="J253" s="35" t="str">
        <f>IFERROR(LOOKUP(D253,SOCIO!B:B,SOCIO!C:C)," ")</f>
        <v xml:space="preserve"> </v>
      </c>
    </row>
    <row r="254" spans="1:10">
      <c r="A254" s="83" t="str">
        <f t="shared" si="3"/>
        <v xml:space="preserve"> </v>
      </c>
      <c r="C254" s="63" t="str">
        <f>IFERROR(LOOKUP(D254,SOCIO!B:B,SOCIO!A:A),"")</f>
        <v/>
      </c>
      <c r="F254" s="67" t="str">
        <f>IFERROR(LOOKUP(E254,CODIGOS!A:A,CODIGOS!B:B)," ")</f>
        <v xml:space="preserve"> </v>
      </c>
      <c r="H254" s="74" t="str">
        <f>IF(J254="SI",IFERROR(LOOKUP(E254,CODIGOS!A:A,CODIGOS!C:C)," "),IFERROR(LOOKUP(E254,CODIGOS!A:A,CODIGOS!D:D),""))</f>
        <v/>
      </c>
      <c r="J254" s="35" t="str">
        <f>IFERROR(LOOKUP(D254,SOCIO!B:B,SOCIO!C:C)," ")</f>
        <v xml:space="preserve"> </v>
      </c>
    </row>
    <row r="255" spans="1:10">
      <c r="A255" s="83" t="str">
        <f t="shared" si="3"/>
        <v xml:space="preserve"> </v>
      </c>
      <c r="C255" s="63" t="str">
        <f>IFERROR(LOOKUP(D255,SOCIO!B:B,SOCIO!A:A),"")</f>
        <v/>
      </c>
      <c r="F255" s="67" t="str">
        <f>IFERROR(LOOKUP(E255,CODIGOS!A:A,CODIGOS!B:B)," ")</f>
        <v xml:space="preserve"> </v>
      </c>
      <c r="H255" s="74" t="str">
        <f>IF(J255="SI",IFERROR(LOOKUP(E255,CODIGOS!A:A,CODIGOS!C:C)," "),IFERROR(LOOKUP(E255,CODIGOS!A:A,CODIGOS!D:D),""))</f>
        <v/>
      </c>
      <c r="J255" s="35" t="str">
        <f>IFERROR(LOOKUP(D255,SOCIO!B:B,SOCIO!C:C)," ")</f>
        <v xml:space="preserve"> </v>
      </c>
    </row>
    <row r="256" spans="1:10">
      <c r="A256" s="83" t="str">
        <f t="shared" si="3"/>
        <v xml:space="preserve"> </v>
      </c>
      <c r="C256" s="63" t="str">
        <f>IFERROR(LOOKUP(D256,SOCIO!B:B,SOCIO!A:A),"")</f>
        <v/>
      </c>
      <c r="F256" s="67" t="str">
        <f>IFERROR(LOOKUP(E256,CODIGOS!A:A,CODIGOS!B:B)," ")</f>
        <v xml:space="preserve"> </v>
      </c>
      <c r="H256" s="74" t="str">
        <f>IF(J256="SI",IFERROR(LOOKUP(E256,CODIGOS!A:A,CODIGOS!C:C)," "),IFERROR(LOOKUP(E256,CODIGOS!A:A,CODIGOS!D:D),""))</f>
        <v/>
      </c>
      <c r="J256" s="35" t="str">
        <f>IFERROR(LOOKUP(D256,SOCIO!B:B,SOCIO!C:C)," ")</f>
        <v xml:space="preserve"> </v>
      </c>
    </row>
    <row r="257" spans="1:10">
      <c r="A257" s="83" t="str">
        <f t="shared" si="3"/>
        <v xml:space="preserve"> </v>
      </c>
      <c r="C257" s="63" t="str">
        <f>IFERROR(LOOKUP(D257,SOCIO!B:B,SOCIO!A:A),"")</f>
        <v/>
      </c>
      <c r="F257" s="67" t="str">
        <f>IFERROR(LOOKUP(E257,CODIGOS!A:A,CODIGOS!B:B)," ")</f>
        <v xml:space="preserve"> </v>
      </c>
      <c r="H257" s="74" t="str">
        <f>IF(J257="SI",IFERROR(LOOKUP(E257,CODIGOS!A:A,CODIGOS!C:C)," "),IFERROR(LOOKUP(E257,CODIGOS!A:A,CODIGOS!D:D),""))</f>
        <v/>
      </c>
      <c r="J257" s="35" t="str">
        <f>IFERROR(LOOKUP(D257,SOCIO!B:B,SOCIO!C:C)," ")</f>
        <v xml:space="preserve"> </v>
      </c>
    </row>
    <row r="258" spans="1:10">
      <c r="A258" s="83" t="str">
        <f t="shared" ref="A258:A321" si="4">IF(B258&lt;&gt;0,A257+1," ")</f>
        <v xml:space="preserve"> </v>
      </c>
      <c r="C258" s="63" t="str">
        <f>IFERROR(LOOKUP(D258,SOCIO!B:B,SOCIO!A:A),"")</f>
        <v/>
      </c>
      <c r="F258" s="67" t="str">
        <f>IFERROR(LOOKUP(E258,CODIGOS!A:A,CODIGOS!B:B)," ")</f>
        <v xml:space="preserve"> </v>
      </c>
      <c r="H258" s="74" t="str">
        <f>IF(J258="SI",IFERROR(LOOKUP(E258,CODIGOS!A:A,CODIGOS!C:C)," "),IFERROR(LOOKUP(E258,CODIGOS!A:A,CODIGOS!D:D),""))</f>
        <v/>
      </c>
      <c r="J258" s="35" t="str">
        <f>IFERROR(LOOKUP(D258,SOCIO!B:B,SOCIO!C:C)," ")</f>
        <v xml:space="preserve"> </v>
      </c>
    </row>
    <row r="259" spans="1:10">
      <c r="A259" s="83" t="str">
        <f t="shared" si="4"/>
        <v xml:space="preserve"> </v>
      </c>
      <c r="C259" s="63" t="str">
        <f>IFERROR(LOOKUP(D259,SOCIO!B:B,SOCIO!A:A),"")</f>
        <v/>
      </c>
      <c r="F259" s="67" t="str">
        <f>IFERROR(LOOKUP(E259,CODIGOS!A:A,CODIGOS!B:B)," ")</f>
        <v xml:space="preserve"> </v>
      </c>
      <c r="H259" s="74" t="str">
        <f>IF(J259="SI",IFERROR(LOOKUP(E259,CODIGOS!A:A,CODIGOS!C:C)," "),IFERROR(LOOKUP(E259,CODIGOS!A:A,CODIGOS!D:D),""))</f>
        <v/>
      </c>
      <c r="J259" s="35" t="str">
        <f>IFERROR(LOOKUP(D259,SOCIO!B:B,SOCIO!C:C)," ")</f>
        <v xml:space="preserve"> </v>
      </c>
    </row>
    <row r="260" spans="1:10">
      <c r="A260" s="83" t="str">
        <f t="shared" si="4"/>
        <v xml:space="preserve"> </v>
      </c>
      <c r="C260" s="63" t="str">
        <f>IFERROR(LOOKUP(D260,SOCIO!B:B,SOCIO!A:A),"")</f>
        <v/>
      </c>
      <c r="F260" s="67" t="str">
        <f>IFERROR(LOOKUP(E260,CODIGOS!A:A,CODIGOS!B:B)," ")</f>
        <v xml:space="preserve"> </v>
      </c>
      <c r="H260" s="74" t="str">
        <f>IF(J260="SI",IFERROR(LOOKUP(E260,CODIGOS!A:A,CODIGOS!C:C)," "),IFERROR(LOOKUP(E260,CODIGOS!A:A,CODIGOS!D:D),""))</f>
        <v/>
      </c>
      <c r="J260" s="35" t="str">
        <f>IFERROR(LOOKUP(D260,SOCIO!B:B,SOCIO!C:C)," ")</f>
        <v xml:space="preserve"> </v>
      </c>
    </row>
    <row r="261" spans="1:10">
      <c r="A261" s="83" t="str">
        <f t="shared" si="4"/>
        <v xml:space="preserve"> </v>
      </c>
      <c r="C261" s="63" t="str">
        <f>IFERROR(LOOKUP(D261,SOCIO!B:B,SOCIO!A:A),"")</f>
        <v/>
      </c>
      <c r="F261" s="67" t="str">
        <f>IFERROR(LOOKUP(E261,CODIGOS!A:A,CODIGOS!B:B)," ")</f>
        <v xml:space="preserve"> </v>
      </c>
      <c r="H261" s="74" t="str">
        <f>IF(J261="SI",IFERROR(LOOKUP(E261,CODIGOS!A:A,CODIGOS!C:C)," "),IFERROR(LOOKUP(E261,CODIGOS!A:A,CODIGOS!D:D),""))</f>
        <v/>
      </c>
      <c r="J261" s="35" t="str">
        <f>IFERROR(LOOKUP(D261,SOCIO!B:B,SOCIO!C:C)," ")</f>
        <v xml:space="preserve"> </v>
      </c>
    </row>
    <row r="262" spans="1:10">
      <c r="A262" s="83" t="str">
        <f t="shared" si="4"/>
        <v xml:space="preserve"> </v>
      </c>
      <c r="C262" s="63" t="str">
        <f>IFERROR(LOOKUP(D262,SOCIO!B:B,SOCIO!A:A),"")</f>
        <v/>
      </c>
      <c r="F262" s="67" t="str">
        <f>IFERROR(LOOKUP(E262,CODIGOS!A:A,CODIGOS!B:B)," ")</f>
        <v xml:space="preserve"> </v>
      </c>
      <c r="H262" s="74" t="str">
        <f>IF(J262="SI",IFERROR(LOOKUP(E262,CODIGOS!A:A,CODIGOS!C:C)," "),IFERROR(LOOKUP(E262,CODIGOS!A:A,CODIGOS!D:D),""))</f>
        <v/>
      </c>
      <c r="J262" s="35" t="str">
        <f>IFERROR(LOOKUP(D262,SOCIO!B:B,SOCIO!C:C)," ")</f>
        <v xml:space="preserve"> </v>
      </c>
    </row>
    <row r="263" spans="1:10">
      <c r="A263" s="83" t="str">
        <f t="shared" si="4"/>
        <v xml:space="preserve"> </v>
      </c>
      <c r="C263" s="63" t="str">
        <f>IFERROR(LOOKUP(D263,SOCIO!B:B,SOCIO!A:A),"")</f>
        <v/>
      </c>
      <c r="F263" s="67" t="str">
        <f>IFERROR(LOOKUP(E263,CODIGOS!A:A,CODIGOS!B:B)," ")</f>
        <v xml:space="preserve"> </v>
      </c>
      <c r="H263" s="74" t="str">
        <f>IF(J263="SI",IFERROR(LOOKUP(E263,CODIGOS!A:A,CODIGOS!C:C)," "),IFERROR(LOOKUP(E263,CODIGOS!A:A,CODIGOS!D:D),""))</f>
        <v/>
      </c>
      <c r="J263" s="35" t="str">
        <f>IFERROR(LOOKUP(D263,SOCIO!B:B,SOCIO!C:C)," ")</f>
        <v xml:space="preserve"> </v>
      </c>
    </row>
    <row r="264" spans="1:10">
      <c r="A264" s="83" t="str">
        <f t="shared" si="4"/>
        <v xml:space="preserve"> </v>
      </c>
      <c r="C264" s="63" t="str">
        <f>IFERROR(LOOKUP(D264,SOCIO!B:B,SOCIO!A:A),"")</f>
        <v/>
      </c>
      <c r="F264" s="67" t="str">
        <f>IFERROR(LOOKUP(E264,CODIGOS!A:A,CODIGOS!B:B)," ")</f>
        <v xml:space="preserve"> </v>
      </c>
      <c r="H264" s="74" t="str">
        <f>IF(J264="SI",IFERROR(LOOKUP(E264,CODIGOS!A:A,CODIGOS!C:C)," "),IFERROR(LOOKUP(E264,CODIGOS!A:A,CODIGOS!D:D),""))</f>
        <v/>
      </c>
      <c r="J264" s="35" t="str">
        <f>IFERROR(LOOKUP(D264,SOCIO!B:B,SOCIO!C:C)," ")</f>
        <v xml:space="preserve"> </v>
      </c>
    </row>
    <row r="265" spans="1:10">
      <c r="A265" s="83" t="str">
        <f t="shared" si="4"/>
        <v xml:space="preserve"> </v>
      </c>
      <c r="C265" s="63" t="str">
        <f>IFERROR(LOOKUP(D265,SOCIO!B:B,SOCIO!A:A),"")</f>
        <v/>
      </c>
      <c r="F265" s="67" t="str">
        <f>IFERROR(LOOKUP(E265,CODIGOS!A:A,CODIGOS!B:B)," ")</f>
        <v xml:space="preserve"> </v>
      </c>
      <c r="H265" s="74" t="str">
        <f>IF(J265="SI",IFERROR(LOOKUP(E265,CODIGOS!A:A,CODIGOS!C:C)," "),IFERROR(LOOKUP(E265,CODIGOS!A:A,CODIGOS!D:D),""))</f>
        <v/>
      </c>
      <c r="J265" s="35" t="str">
        <f>IFERROR(LOOKUP(D265,SOCIO!B:B,SOCIO!C:C)," ")</f>
        <v xml:space="preserve"> </v>
      </c>
    </row>
    <row r="266" spans="1:10">
      <c r="A266" s="83" t="str">
        <f t="shared" si="4"/>
        <v xml:space="preserve"> </v>
      </c>
      <c r="C266" s="63" t="str">
        <f>IFERROR(LOOKUP(D266,SOCIO!B:B,SOCIO!A:A),"")</f>
        <v/>
      </c>
      <c r="F266" s="67" t="str">
        <f>IFERROR(LOOKUP(E266,CODIGOS!A:A,CODIGOS!B:B)," ")</f>
        <v xml:space="preserve"> </v>
      </c>
      <c r="H266" s="74" t="str">
        <f>IF(J266="SI",IFERROR(LOOKUP(E266,CODIGOS!A:A,CODIGOS!C:C)," "),IFERROR(LOOKUP(E266,CODIGOS!A:A,CODIGOS!D:D),""))</f>
        <v/>
      </c>
      <c r="J266" s="35" t="str">
        <f>IFERROR(LOOKUP(D266,SOCIO!B:B,SOCIO!C:C)," ")</f>
        <v xml:space="preserve"> </v>
      </c>
    </row>
    <row r="267" spans="1:10">
      <c r="A267" s="83" t="str">
        <f t="shared" si="4"/>
        <v xml:space="preserve"> </v>
      </c>
      <c r="C267" s="63" t="str">
        <f>IFERROR(LOOKUP(D267,SOCIO!B:B,SOCIO!A:A),"")</f>
        <v/>
      </c>
      <c r="F267" s="67" t="str">
        <f>IFERROR(LOOKUP(E267,CODIGOS!A:A,CODIGOS!B:B)," ")</f>
        <v xml:space="preserve"> </v>
      </c>
      <c r="H267" s="74" t="str">
        <f>IF(J267="SI",IFERROR(LOOKUP(E267,CODIGOS!A:A,CODIGOS!C:C)," "),IFERROR(LOOKUP(E267,CODIGOS!A:A,CODIGOS!D:D),""))</f>
        <v/>
      </c>
      <c r="J267" s="35" t="str">
        <f>IFERROR(LOOKUP(D267,SOCIO!B:B,SOCIO!C:C)," ")</f>
        <v xml:space="preserve"> </v>
      </c>
    </row>
    <row r="268" spans="1:10">
      <c r="A268" s="83" t="str">
        <f t="shared" si="4"/>
        <v xml:space="preserve"> </v>
      </c>
      <c r="C268" s="63" t="str">
        <f>IFERROR(LOOKUP(D268,SOCIO!B:B,SOCIO!A:A),"")</f>
        <v/>
      </c>
      <c r="F268" s="67" t="str">
        <f>IFERROR(LOOKUP(E268,CODIGOS!A:A,CODIGOS!B:B)," ")</f>
        <v xml:space="preserve"> </v>
      </c>
      <c r="H268" s="74" t="str">
        <f>IF(J268="SI",IFERROR(LOOKUP(E268,CODIGOS!A:A,CODIGOS!C:C)," "),IFERROR(LOOKUP(E268,CODIGOS!A:A,CODIGOS!D:D),""))</f>
        <v/>
      </c>
      <c r="J268" s="35" t="str">
        <f>IFERROR(LOOKUP(D268,SOCIO!B:B,SOCIO!C:C)," ")</f>
        <v xml:space="preserve"> </v>
      </c>
    </row>
    <row r="269" spans="1:10">
      <c r="A269" s="83" t="str">
        <f t="shared" si="4"/>
        <v xml:space="preserve"> </v>
      </c>
      <c r="C269" s="63" t="str">
        <f>IFERROR(LOOKUP(D269,SOCIO!B:B,SOCIO!A:A),"")</f>
        <v/>
      </c>
      <c r="F269" s="67" t="str">
        <f>IFERROR(LOOKUP(E269,CODIGOS!A:A,CODIGOS!B:B)," ")</f>
        <v xml:space="preserve"> </v>
      </c>
      <c r="H269" s="74" t="str">
        <f>IF(J269="SI",IFERROR(LOOKUP(E269,CODIGOS!A:A,CODIGOS!C:C)," "),IFERROR(LOOKUP(E269,CODIGOS!A:A,CODIGOS!D:D),""))</f>
        <v/>
      </c>
      <c r="J269" s="35" t="str">
        <f>IFERROR(LOOKUP(D269,SOCIO!B:B,SOCIO!C:C)," ")</f>
        <v xml:space="preserve"> </v>
      </c>
    </row>
    <row r="270" spans="1:10">
      <c r="A270" s="83" t="str">
        <f t="shared" si="4"/>
        <v xml:space="preserve"> </v>
      </c>
      <c r="C270" s="63" t="str">
        <f>IFERROR(LOOKUP(D270,SOCIO!B:B,SOCIO!A:A),"")</f>
        <v/>
      </c>
      <c r="F270" s="67" t="str">
        <f>IFERROR(LOOKUP(E270,CODIGOS!A:A,CODIGOS!B:B)," ")</f>
        <v xml:space="preserve"> </v>
      </c>
      <c r="H270" s="74" t="str">
        <f>IF(J270="SI",IFERROR(LOOKUP(E270,CODIGOS!A:A,CODIGOS!C:C)," "),IFERROR(LOOKUP(E270,CODIGOS!A:A,CODIGOS!D:D),""))</f>
        <v/>
      </c>
      <c r="J270" s="35" t="str">
        <f>IFERROR(LOOKUP(D270,SOCIO!B:B,SOCIO!C:C)," ")</f>
        <v xml:space="preserve"> </v>
      </c>
    </row>
    <row r="271" spans="1:10">
      <c r="A271" s="83" t="str">
        <f t="shared" si="4"/>
        <v xml:space="preserve"> </v>
      </c>
      <c r="C271" s="63" t="str">
        <f>IFERROR(LOOKUP(D271,SOCIO!B:B,SOCIO!A:A),"")</f>
        <v/>
      </c>
      <c r="F271" s="67" t="str">
        <f>IFERROR(LOOKUP(E271,CODIGOS!A:A,CODIGOS!B:B)," ")</f>
        <v xml:space="preserve"> </v>
      </c>
      <c r="H271" s="74" t="str">
        <f>IF(J271="SI",IFERROR(LOOKUP(E271,CODIGOS!A:A,CODIGOS!C:C)," "),IFERROR(LOOKUP(E271,CODIGOS!A:A,CODIGOS!D:D),""))</f>
        <v/>
      </c>
      <c r="J271" s="35" t="str">
        <f>IFERROR(LOOKUP(D271,SOCIO!B:B,SOCIO!C:C)," ")</f>
        <v xml:space="preserve"> </v>
      </c>
    </row>
    <row r="272" spans="1:10">
      <c r="A272" s="83" t="str">
        <f t="shared" si="4"/>
        <v xml:space="preserve"> </v>
      </c>
      <c r="C272" s="63" t="str">
        <f>IFERROR(LOOKUP(D272,SOCIO!B:B,SOCIO!A:A),"")</f>
        <v/>
      </c>
      <c r="F272" s="67" t="str">
        <f>IFERROR(LOOKUP(E272,CODIGOS!A:A,CODIGOS!B:B)," ")</f>
        <v xml:space="preserve"> </v>
      </c>
      <c r="H272" s="74" t="str">
        <f>IF(J272="SI",IFERROR(LOOKUP(E272,CODIGOS!A:A,CODIGOS!C:C)," "),IFERROR(LOOKUP(E272,CODIGOS!A:A,CODIGOS!D:D),""))</f>
        <v/>
      </c>
      <c r="J272" s="35" t="str">
        <f>IFERROR(LOOKUP(D272,SOCIO!B:B,SOCIO!C:C)," ")</f>
        <v xml:space="preserve"> </v>
      </c>
    </row>
    <row r="273" spans="1:10">
      <c r="A273" s="83" t="str">
        <f t="shared" si="4"/>
        <v xml:space="preserve"> </v>
      </c>
      <c r="C273" s="63" t="str">
        <f>IFERROR(LOOKUP(D273,SOCIO!B:B,SOCIO!A:A),"")</f>
        <v/>
      </c>
      <c r="F273" s="67" t="str">
        <f>IFERROR(LOOKUP(E273,CODIGOS!A:A,CODIGOS!B:B)," ")</f>
        <v xml:space="preserve"> </v>
      </c>
      <c r="H273" s="74" t="str">
        <f>IF(J273="SI",IFERROR(LOOKUP(E273,CODIGOS!A:A,CODIGOS!C:C)," "),IFERROR(LOOKUP(E273,CODIGOS!A:A,CODIGOS!D:D),""))</f>
        <v/>
      </c>
      <c r="J273" s="35" t="str">
        <f>IFERROR(LOOKUP(D273,SOCIO!B:B,SOCIO!C:C)," ")</f>
        <v xml:space="preserve"> </v>
      </c>
    </row>
    <row r="274" spans="1:10">
      <c r="A274" s="83" t="str">
        <f t="shared" si="4"/>
        <v xml:space="preserve"> </v>
      </c>
      <c r="C274" s="63" t="str">
        <f>IFERROR(LOOKUP(D274,SOCIO!B:B,SOCIO!A:A),"")</f>
        <v/>
      </c>
      <c r="F274" s="67" t="str">
        <f>IFERROR(LOOKUP(E274,CODIGOS!A:A,CODIGOS!B:B)," ")</f>
        <v xml:space="preserve"> </v>
      </c>
      <c r="H274" s="74" t="str">
        <f>IF(J274="SI",IFERROR(LOOKUP(E274,CODIGOS!A:A,CODIGOS!C:C)," "),IFERROR(LOOKUP(E274,CODIGOS!A:A,CODIGOS!D:D),""))</f>
        <v/>
      </c>
      <c r="J274" s="35" t="str">
        <f>IFERROR(LOOKUP(D274,SOCIO!B:B,SOCIO!C:C)," ")</f>
        <v xml:space="preserve"> </v>
      </c>
    </row>
    <row r="275" spans="1:10">
      <c r="A275" s="83" t="str">
        <f t="shared" si="4"/>
        <v xml:space="preserve"> </v>
      </c>
      <c r="C275" s="63" t="str">
        <f>IFERROR(LOOKUP(D275,SOCIO!B:B,SOCIO!A:A),"")</f>
        <v/>
      </c>
      <c r="F275" s="67" t="str">
        <f>IFERROR(LOOKUP(E275,CODIGOS!A:A,CODIGOS!B:B)," ")</f>
        <v xml:space="preserve"> </v>
      </c>
      <c r="H275" s="74" t="str">
        <f>IF(J275="SI",IFERROR(LOOKUP(E275,CODIGOS!A:A,CODIGOS!C:C)," "),IFERROR(LOOKUP(E275,CODIGOS!A:A,CODIGOS!D:D),""))</f>
        <v/>
      </c>
      <c r="J275" s="35" t="str">
        <f>IFERROR(LOOKUP(D275,SOCIO!B:B,SOCIO!C:C)," ")</f>
        <v xml:space="preserve"> </v>
      </c>
    </row>
    <row r="276" spans="1:10">
      <c r="A276" s="83" t="str">
        <f t="shared" si="4"/>
        <v xml:space="preserve"> </v>
      </c>
      <c r="C276" s="63" t="str">
        <f>IFERROR(LOOKUP(D276,SOCIO!B:B,SOCIO!A:A),"")</f>
        <v/>
      </c>
      <c r="F276" s="67" t="str">
        <f>IFERROR(LOOKUP(E276,CODIGOS!A:A,CODIGOS!B:B)," ")</f>
        <v xml:space="preserve"> </v>
      </c>
      <c r="H276" s="74" t="str">
        <f>IF(J276="SI",IFERROR(LOOKUP(E276,CODIGOS!A:A,CODIGOS!C:C)," "),IFERROR(LOOKUP(E276,CODIGOS!A:A,CODIGOS!D:D),""))</f>
        <v/>
      </c>
      <c r="J276" s="35" t="str">
        <f>IFERROR(LOOKUP(D276,SOCIO!B:B,SOCIO!C:C)," ")</f>
        <v xml:space="preserve"> </v>
      </c>
    </row>
    <row r="277" spans="1:10">
      <c r="A277" s="83" t="str">
        <f t="shared" si="4"/>
        <v xml:space="preserve"> </v>
      </c>
      <c r="C277" s="63" t="str">
        <f>IFERROR(LOOKUP(D277,SOCIO!B:B,SOCIO!A:A),"")</f>
        <v/>
      </c>
      <c r="F277" s="67" t="str">
        <f>IFERROR(LOOKUP(E277,CODIGOS!A:A,CODIGOS!B:B)," ")</f>
        <v xml:space="preserve"> </v>
      </c>
      <c r="H277" s="74" t="str">
        <f>IF(J277="SI",IFERROR(LOOKUP(E277,CODIGOS!A:A,CODIGOS!C:C)," "),IFERROR(LOOKUP(E277,CODIGOS!A:A,CODIGOS!D:D),""))</f>
        <v/>
      </c>
      <c r="J277" s="35" t="str">
        <f>IFERROR(LOOKUP(D277,SOCIO!B:B,SOCIO!C:C)," ")</f>
        <v xml:space="preserve"> </v>
      </c>
    </row>
    <row r="278" spans="1:10">
      <c r="A278" s="83" t="str">
        <f t="shared" si="4"/>
        <v xml:space="preserve"> </v>
      </c>
      <c r="C278" s="63" t="str">
        <f>IFERROR(LOOKUP(D278,SOCIO!B:B,SOCIO!A:A),"")</f>
        <v/>
      </c>
      <c r="F278" s="67" t="str">
        <f>IFERROR(LOOKUP(E278,CODIGOS!A:A,CODIGOS!B:B)," ")</f>
        <v xml:space="preserve"> </v>
      </c>
      <c r="H278" s="74" t="str">
        <f>IF(J278="SI",IFERROR(LOOKUP(E278,CODIGOS!A:A,CODIGOS!C:C)," "),IFERROR(LOOKUP(E278,CODIGOS!A:A,CODIGOS!D:D),""))</f>
        <v/>
      </c>
      <c r="J278" s="35" t="str">
        <f>IFERROR(LOOKUP(D278,SOCIO!B:B,SOCIO!C:C)," ")</f>
        <v xml:space="preserve"> </v>
      </c>
    </row>
    <row r="279" spans="1:10">
      <c r="A279" s="83" t="str">
        <f t="shared" si="4"/>
        <v xml:space="preserve"> </v>
      </c>
      <c r="C279" s="63" t="str">
        <f>IFERROR(LOOKUP(D279,SOCIO!B:B,SOCIO!A:A),"")</f>
        <v/>
      </c>
      <c r="F279" s="67" t="str">
        <f>IFERROR(LOOKUP(E279,CODIGOS!A:A,CODIGOS!B:B)," ")</f>
        <v xml:space="preserve"> </v>
      </c>
      <c r="H279" s="74" t="str">
        <f>IF(J279="SI",IFERROR(LOOKUP(E279,CODIGOS!A:A,CODIGOS!C:C)," "),IFERROR(LOOKUP(E279,CODIGOS!A:A,CODIGOS!D:D),""))</f>
        <v/>
      </c>
      <c r="J279" s="35" t="str">
        <f>IFERROR(LOOKUP(D279,SOCIO!B:B,SOCIO!C:C)," ")</f>
        <v xml:space="preserve"> </v>
      </c>
    </row>
    <row r="280" spans="1:10">
      <c r="A280" s="83" t="str">
        <f t="shared" si="4"/>
        <v xml:space="preserve"> </v>
      </c>
      <c r="C280" s="63" t="str">
        <f>IFERROR(LOOKUP(D280,SOCIO!B:B,SOCIO!A:A),"")</f>
        <v/>
      </c>
      <c r="F280" s="67" t="str">
        <f>IFERROR(LOOKUP(E280,CODIGOS!A:A,CODIGOS!B:B)," ")</f>
        <v xml:space="preserve"> </v>
      </c>
      <c r="H280" s="74" t="str">
        <f>IF(J280="SI",IFERROR(LOOKUP(E280,CODIGOS!A:A,CODIGOS!C:C)," "),IFERROR(LOOKUP(E280,CODIGOS!A:A,CODIGOS!D:D),""))</f>
        <v/>
      </c>
      <c r="J280" s="35" t="str">
        <f>IFERROR(LOOKUP(D280,SOCIO!B:B,SOCIO!C:C)," ")</f>
        <v xml:space="preserve"> </v>
      </c>
    </row>
    <row r="281" spans="1:10">
      <c r="A281" s="83" t="str">
        <f t="shared" si="4"/>
        <v xml:space="preserve"> </v>
      </c>
      <c r="C281" s="63" t="str">
        <f>IFERROR(LOOKUP(D281,SOCIO!B:B,SOCIO!A:A),"")</f>
        <v/>
      </c>
      <c r="F281" s="67" t="str">
        <f>IFERROR(LOOKUP(E281,CODIGOS!A:A,CODIGOS!B:B)," ")</f>
        <v xml:space="preserve"> </v>
      </c>
      <c r="H281" s="74" t="str">
        <f>IF(J281="SI",IFERROR(LOOKUP(E281,CODIGOS!A:A,CODIGOS!C:C)," "),IFERROR(LOOKUP(E281,CODIGOS!A:A,CODIGOS!D:D),""))</f>
        <v/>
      </c>
      <c r="J281" s="35" t="str">
        <f>IFERROR(LOOKUP(D281,SOCIO!B:B,SOCIO!C:C)," ")</f>
        <v xml:space="preserve"> </v>
      </c>
    </row>
    <row r="282" spans="1:10">
      <c r="A282" s="83" t="str">
        <f t="shared" si="4"/>
        <v xml:space="preserve"> </v>
      </c>
      <c r="C282" s="63" t="str">
        <f>IFERROR(LOOKUP(D282,SOCIO!B:B,SOCIO!A:A),"")</f>
        <v/>
      </c>
      <c r="F282" s="67" t="str">
        <f>IFERROR(LOOKUP(E282,CODIGOS!A:A,CODIGOS!B:B)," ")</f>
        <v xml:space="preserve"> </v>
      </c>
      <c r="H282" s="74" t="str">
        <f>IF(J282="SI",IFERROR(LOOKUP(E282,CODIGOS!A:A,CODIGOS!C:C)," "),IFERROR(LOOKUP(E282,CODIGOS!A:A,CODIGOS!D:D),""))</f>
        <v/>
      </c>
      <c r="J282" s="35" t="str">
        <f>IFERROR(LOOKUP(D282,SOCIO!B:B,SOCIO!C:C)," ")</f>
        <v xml:space="preserve"> </v>
      </c>
    </row>
    <row r="283" spans="1:10">
      <c r="A283" s="83" t="str">
        <f t="shared" si="4"/>
        <v xml:space="preserve"> </v>
      </c>
      <c r="C283" s="63" t="str">
        <f>IFERROR(LOOKUP(D283,SOCIO!B:B,SOCIO!A:A),"")</f>
        <v/>
      </c>
      <c r="F283" s="67" t="str">
        <f>IFERROR(LOOKUP(E283,CODIGOS!A:A,CODIGOS!B:B)," ")</f>
        <v xml:space="preserve"> </v>
      </c>
      <c r="H283" s="74" t="str">
        <f>IF(J283="SI",IFERROR(LOOKUP(E283,CODIGOS!A:A,CODIGOS!C:C)," "),IFERROR(LOOKUP(E283,CODIGOS!A:A,CODIGOS!D:D),""))</f>
        <v/>
      </c>
      <c r="J283" s="35" t="str">
        <f>IFERROR(LOOKUP(D283,SOCIO!B:B,SOCIO!C:C)," ")</f>
        <v xml:space="preserve"> </v>
      </c>
    </row>
    <row r="284" spans="1:10">
      <c r="A284" s="83" t="str">
        <f t="shared" si="4"/>
        <v xml:space="preserve"> </v>
      </c>
      <c r="C284" s="63" t="str">
        <f>IFERROR(LOOKUP(D284,SOCIO!B:B,SOCIO!A:A),"")</f>
        <v/>
      </c>
      <c r="F284" s="67" t="str">
        <f>IFERROR(LOOKUP(E284,CODIGOS!A:A,CODIGOS!B:B)," ")</f>
        <v xml:space="preserve"> </v>
      </c>
      <c r="H284" s="74" t="str">
        <f>IF(J284="SI",IFERROR(LOOKUP(E284,CODIGOS!A:A,CODIGOS!C:C)," "),IFERROR(LOOKUP(E284,CODIGOS!A:A,CODIGOS!D:D),""))</f>
        <v/>
      </c>
      <c r="J284" s="35" t="str">
        <f>IFERROR(LOOKUP(D284,SOCIO!B:B,SOCIO!C:C)," ")</f>
        <v xml:space="preserve"> </v>
      </c>
    </row>
    <row r="285" spans="1:10">
      <c r="A285" s="83" t="str">
        <f t="shared" si="4"/>
        <v xml:space="preserve"> </v>
      </c>
      <c r="C285" s="63" t="str">
        <f>IFERROR(LOOKUP(D285,SOCIO!B:B,SOCIO!A:A),"")</f>
        <v/>
      </c>
      <c r="F285" s="67" t="str">
        <f>IFERROR(LOOKUP(E285,CODIGOS!A:A,CODIGOS!B:B)," ")</f>
        <v xml:space="preserve"> </v>
      </c>
      <c r="H285" s="74" t="str">
        <f>IF(J285="SI",IFERROR(LOOKUP(E285,CODIGOS!A:A,CODIGOS!C:C)," "),IFERROR(LOOKUP(E285,CODIGOS!A:A,CODIGOS!D:D),""))</f>
        <v/>
      </c>
      <c r="J285" s="35" t="str">
        <f>IFERROR(LOOKUP(D285,SOCIO!B:B,SOCIO!C:C)," ")</f>
        <v xml:space="preserve"> </v>
      </c>
    </row>
    <row r="286" spans="1:10">
      <c r="A286" s="83" t="str">
        <f t="shared" si="4"/>
        <v xml:space="preserve"> </v>
      </c>
      <c r="C286" s="63" t="str">
        <f>IFERROR(LOOKUP(D286,SOCIO!B:B,SOCIO!A:A),"")</f>
        <v/>
      </c>
      <c r="F286" s="67" t="str">
        <f>IFERROR(LOOKUP(E286,CODIGOS!A:A,CODIGOS!B:B)," ")</f>
        <v xml:space="preserve"> </v>
      </c>
      <c r="H286" s="74" t="str">
        <f>IF(J286="SI",IFERROR(LOOKUP(E286,CODIGOS!A:A,CODIGOS!C:C)," "),IFERROR(LOOKUP(E286,CODIGOS!A:A,CODIGOS!D:D),""))</f>
        <v/>
      </c>
      <c r="J286" s="35" t="str">
        <f>IFERROR(LOOKUP(D286,SOCIO!B:B,SOCIO!C:C)," ")</f>
        <v xml:space="preserve"> </v>
      </c>
    </row>
    <row r="287" spans="1:10">
      <c r="A287" s="83" t="str">
        <f t="shared" si="4"/>
        <v xml:space="preserve"> </v>
      </c>
      <c r="C287" s="63" t="str">
        <f>IFERROR(LOOKUP(D287,SOCIO!B:B,SOCIO!A:A),"")</f>
        <v/>
      </c>
      <c r="F287" s="67" t="str">
        <f>IFERROR(LOOKUP(E287,CODIGOS!A:A,CODIGOS!B:B)," ")</f>
        <v xml:space="preserve"> </v>
      </c>
      <c r="H287" s="74" t="str">
        <f>IF(J287="SI",IFERROR(LOOKUP(E287,CODIGOS!A:A,CODIGOS!C:C)," "),IFERROR(LOOKUP(E287,CODIGOS!A:A,CODIGOS!D:D),""))</f>
        <v/>
      </c>
      <c r="J287" s="35" t="str">
        <f>IFERROR(LOOKUP(D287,SOCIO!B:B,SOCIO!C:C)," ")</f>
        <v xml:space="preserve"> </v>
      </c>
    </row>
    <row r="288" spans="1:10">
      <c r="A288" s="83" t="str">
        <f t="shared" si="4"/>
        <v xml:space="preserve"> </v>
      </c>
      <c r="C288" s="63" t="str">
        <f>IFERROR(LOOKUP(D288,SOCIO!B:B,SOCIO!A:A),"")</f>
        <v/>
      </c>
      <c r="F288" s="67" t="str">
        <f>IFERROR(LOOKUP(E288,CODIGOS!A:A,CODIGOS!B:B)," ")</f>
        <v xml:space="preserve"> </v>
      </c>
      <c r="H288" s="74" t="str">
        <f>IF(J288="SI",IFERROR(LOOKUP(E288,CODIGOS!A:A,CODIGOS!C:C)," "),IFERROR(LOOKUP(E288,CODIGOS!A:A,CODIGOS!D:D),""))</f>
        <v/>
      </c>
      <c r="J288" s="35" t="str">
        <f>IFERROR(LOOKUP(D288,SOCIO!B:B,SOCIO!C:C)," ")</f>
        <v xml:space="preserve"> </v>
      </c>
    </row>
    <row r="289" spans="1:10">
      <c r="A289" s="83" t="str">
        <f t="shared" si="4"/>
        <v xml:space="preserve"> </v>
      </c>
      <c r="C289" s="63" t="str">
        <f>IFERROR(LOOKUP(D289,SOCIO!B:B,SOCIO!A:A),"")</f>
        <v/>
      </c>
      <c r="F289" s="67" t="str">
        <f>IFERROR(LOOKUP(E289,CODIGOS!A:A,CODIGOS!B:B)," ")</f>
        <v xml:space="preserve"> </v>
      </c>
      <c r="H289" s="74" t="str">
        <f>IF(J289="SI",IFERROR(LOOKUP(E289,CODIGOS!A:A,CODIGOS!C:C)," "),IFERROR(LOOKUP(E289,CODIGOS!A:A,CODIGOS!D:D),""))</f>
        <v/>
      </c>
      <c r="J289" s="35" t="str">
        <f>IFERROR(LOOKUP(D289,SOCIO!B:B,SOCIO!C:C)," ")</f>
        <v xml:space="preserve"> </v>
      </c>
    </row>
    <row r="290" spans="1:10">
      <c r="A290" s="83" t="str">
        <f t="shared" si="4"/>
        <v xml:space="preserve"> </v>
      </c>
      <c r="C290" s="63" t="str">
        <f>IFERROR(LOOKUP(D290,SOCIO!B:B,SOCIO!A:A),"")</f>
        <v/>
      </c>
      <c r="F290" s="67" t="str">
        <f>IFERROR(LOOKUP(E290,CODIGOS!A:A,CODIGOS!B:B)," ")</f>
        <v xml:space="preserve"> </v>
      </c>
      <c r="H290" s="74" t="str">
        <f>IF(J290="SI",IFERROR(LOOKUP(E290,CODIGOS!A:A,CODIGOS!C:C)," "),IFERROR(LOOKUP(E290,CODIGOS!A:A,CODIGOS!D:D),""))</f>
        <v/>
      </c>
      <c r="J290" s="35" t="str">
        <f>IFERROR(LOOKUP(D290,SOCIO!B:B,SOCIO!C:C)," ")</f>
        <v xml:space="preserve"> </v>
      </c>
    </row>
    <row r="291" spans="1:10">
      <c r="A291" s="83" t="str">
        <f t="shared" si="4"/>
        <v xml:space="preserve"> </v>
      </c>
      <c r="C291" s="63" t="str">
        <f>IFERROR(LOOKUP(D291,SOCIO!B:B,SOCIO!A:A),"")</f>
        <v/>
      </c>
      <c r="F291" s="67" t="str">
        <f>IFERROR(LOOKUP(E291,CODIGOS!A:A,CODIGOS!B:B)," ")</f>
        <v xml:space="preserve"> </v>
      </c>
      <c r="H291" s="74" t="str">
        <f>IF(J291="SI",IFERROR(LOOKUP(E291,CODIGOS!A:A,CODIGOS!C:C)," "),IFERROR(LOOKUP(E291,CODIGOS!A:A,CODIGOS!D:D),""))</f>
        <v/>
      </c>
      <c r="J291" s="35" t="str">
        <f>IFERROR(LOOKUP(D291,SOCIO!B:B,SOCIO!C:C)," ")</f>
        <v xml:space="preserve"> </v>
      </c>
    </row>
    <row r="292" spans="1:10">
      <c r="A292" s="83" t="str">
        <f t="shared" si="4"/>
        <v xml:space="preserve"> </v>
      </c>
      <c r="C292" s="63" t="str">
        <f>IFERROR(LOOKUP(D292,SOCIO!B:B,SOCIO!A:A),"")</f>
        <v/>
      </c>
      <c r="F292" s="67" t="str">
        <f>IFERROR(LOOKUP(E292,CODIGOS!A:A,CODIGOS!B:B)," ")</f>
        <v xml:space="preserve"> </v>
      </c>
      <c r="H292" s="74" t="str">
        <f>IF(J292="SI",IFERROR(LOOKUP(E292,CODIGOS!A:A,CODIGOS!C:C)," "),IFERROR(LOOKUP(E292,CODIGOS!A:A,CODIGOS!D:D),""))</f>
        <v/>
      </c>
      <c r="J292" s="35" t="str">
        <f>IFERROR(LOOKUP(D292,SOCIO!B:B,SOCIO!C:C)," ")</f>
        <v xml:space="preserve"> </v>
      </c>
    </row>
    <row r="293" spans="1:10">
      <c r="A293" s="83" t="str">
        <f t="shared" si="4"/>
        <v xml:space="preserve"> </v>
      </c>
      <c r="C293" s="63" t="str">
        <f>IFERROR(LOOKUP(D293,SOCIO!B:B,SOCIO!A:A),"")</f>
        <v/>
      </c>
      <c r="F293" s="67" t="str">
        <f>IFERROR(LOOKUP(E293,CODIGOS!A:A,CODIGOS!B:B)," ")</f>
        <v xml:space="preserve"> </v>
      </c>
      <c r="H293" s="74" t="str">
        <f>IF(J293="SI",IFERROR(LOOKUP(E293,CODIGOS!A:A,CODIGOS!C:C)," "),IFERROR(LOOKUP(E293,CODIGOS!A:A,CODIGOS!D:D),""))</f>
        <v/>
      </c>
      <c r="J293" s="35" t="str">
        <f>IFERROR(LOOKUP(D293,SOCIO!B:B,SOCIO!C:C)," ")</f>
        <v xml:space="preserve"> </v>
      </c>
    </row>
    <row r="294" spans="1:10">
      <c r="A294" s="83" t="str">
        <f t="shared" si="4"/>
        <v xml:space="preserve"> </v>
      </c>
      <c r="C294" s="63" t="str">
        <f>IFERROR(LOOKUP(D294,SOCIO!B:B,SOCIO!A:A),"")</f>
        <v/>
      </c>
      <c r="F294" s="67" t="str">
        <f>IFERROR(LOOKUP(E294,CODIGOS!A:A,CODIGOS!B:B)," ")</f>
        <v xml:space="preserve"> </v>
      </c>
      <c r="H294" s="74" t="str">
        <f>IF(J294="SI",IFERROR(LOOKUP(E294,CODIGOS!A:A,CODIGOS!C:C)," "),IFERROR(LOOKUP(E294,CODIGOS!A:A,CODIGOS!D:D),""))</f>
        <v/>
      </c>
      <c r="J294" s="35" t="str">
        <f>IFERROR(LOOKUP(D294,SOCIO!B:B,SOCIO!C:C)," ")</f>
        <v xml:space="preserve"> </v>
      </c>
    </row>
    <row r="295" spans="1:10">
      <c r="A295" s="83" t="str">
        <f t="shared" si="4"/>
        <v xml:space="preserve"> </v>
      </c>
      <c r="C295" s="63" t="str">
        <f>IFERROR(LOOKUP(D295,SOCIO!B:B,SOCIO!A:A),"")</f>
        <v/>
      </c>
      <c r="F295" s="67" t="str">
        <f>IFERROR(LOOKUP(E295,CODIGOS!A:A,CODIGOS!B:B)," ")</f>
        <v xml:space="preserve"> </v>
      </c>
      <c r="H295" s="74" t="str">
        <f>IF(J295="SI",IFERROR(LOOKUP(E295,CODIGOS!A:A,CODIGOS!C:C)," "),IFERROR(LOOKUP(E295,CODIGOS!A:A,CODIGOS!D:D),""))</f>
        <v/>
      </c>
      <c r="J295" s="35" t="str">
        <f>IFERROR(LOOKUP(D295,SOCIO!B:B,SOCIO!C:C)," ")</f>
        <v xml:space="preserve"> </v>
      </c>
    </row>
    <row r="296" spans="1:10">
      <c r="A296" s="83" t="str">
        <f t="shared" si="4"/>
        <v xml:space="preserve"> </v>
      </c>
      <c r="C296" s="63" t="str">
        <f>IFERROR(LOOKUP(D296,SOCIO!B:B,SOCIO!A:A),"")</f>
        <v/>
      </c>
      <c r="F296" s="67" t="str">
        <f>IFERROR(LOOKUP(E296,CODIGOS!A:A,CODIGOS!B:B)," ")</f>
        <v xml:space="preserve"> </v>
      </c>
      <c r="H296" s="74" t="str">
        <f>IF(J296="SI",IFERROR(LOOKUP(E296,CODIGOS!A:A,CODIGOS!C:C)," "),IFERROR(LOOKUP(E296,CODIGOS!A:A,CODIGOS!D:D),""))</f>
        <v/>
      </c>
      <c r="J296" s="35" t="str">
        <f>IFERROR(LOOKUP(D296,SOCIO!B:B,SOCIO!C:C)," ")</f>
        <v xml:space="preserve"> </v>
      </c>
    </row>
    <row r="297" spans="1:10">
      <c r="A297" s="83" t="str">
        <f t="shared" si="4"/>
        <v xml:space="preserve"> </v>
      </c>
      <c r="C297" s="63" t="str">
        <f>IFERROR(LOOKUP(D297,SOCIO!B:B,SOCIO!A:A),"")</f>
        <v/>
      </c>
      <c r="F297" s="67" t="str">
        <f>IFERROR(LOOKUP(E297,CODIGOS!A:A,CODIGOS!B:B)," ")</f>
        <v xml:space="preserve"> </v>
      </c>
      <c r="H297" s="74" t="str">
        <f>IF(J297="SI",IFERROR(LOOKUP(E297,CODIGOS!A:A,CODIGOS!C:C)," "),IFERROR(LOOKUP(E297,CODIGOS!A:A,CODIGOS!D:D),""))</f>
        <v/>
      </c>
      <c r="J297" s="35" t="str">
        <f>IFERROR(LOOKUP(D297,SOCIO!B:B,SOCIO!C:C)," ")</f>
        <v xml:space="preserve"> </v>
      </c>
    </row>
    <row r="298" spans="1:10">
      <c r="A298" s="83" t="str">
        <f t="shared" si="4"/>
        <v xml:space="preserve"> </v>
      </c>
      <c r="C298" s="63" t="str">
        <f>IFERROR(LOOKUP(D298,SOCIO!B:B,SOCIO!A:A),"")</f>
        <v/>
      </c>
      <c r="F298" s="67" t="str">
        <f>IFERROR(LOOKUP(E298,CODIGOS!A:A,CODIGOS!B:B)," ")</f>
        <v xml:space="preserve"> </v>
      </c>
      <c r="H298" s="74" t="str">
        <f>IF(J298="SI",IFERROR(LOOKUP(E298,CODIGOS!A:A,CODIGOS!C:C)," "),IFERROR(LOOKUP(E298,CODIGOS!A:A,CODIGOS!D:D),""))</f>
        <v/>
      </c>
      <c r="J298" s="35" t="str">
        <f>IFERROR(LOOKUP(D298,SOCIO!B:B,SOCIO!C:C)," ")</f>
        <v xml:space="preserve"> </v>
      </c>
    </row>
    <row r="299" spans="1:10">
      <c r="A299" s="83" t="str">
        <f t="shared" si="4"/>
        <v xml:space="preserve"> </v>
      </c>
      <c r="C299" s="63" t="str">
        <f>IFERROR(LOOKUP(D299,SOCIO!B:B,SOCIO!A:A),"")</f>
        <v/>
      </c>
      <c r="F299" s="67" t="str">
        <f>IFERROR(LOOKUP(E299,CODIGOS!A:A,CODIGOS!B:B)," ")</f>
        <v xml:space="preserve"> </v>
      </c>
      <c r="H299" s="74" t="str">
        <f>IF(J299="SI",IFERROR(LOOKUP(E299,CODIGOS!A:A,CODIGOS!C:C)," "),IFERROR(LOOKUP(E299,CODIGOS!A:A,CODIGOS!D:D),""))</f>
        <v/>
      </c>
      <c r="J299" s="35" t="str">
        <f>IFERROR(LOOKUP(D299,SOCIO!B:B,SOCIO!C:C)," ")</f>
        <v xml:space="preserve"> </v>
      </c>
    </row>
    <row r="300" spans="1:10">
      <c r="A300" s="83" t="str">
        <f t="shared" si="4"/>
        <v xml:space="preserve"> </v>
      </c>
      <c r="C300" s="63" t="str">
        <f>IFERROR(LOOKUP(D300,SOCIO!B:B,SOCIO!A:A),"")</f>
        <v/>
      </c>
      <c r="F300" s="67" t="str">
        <f>IFERROR(LOOKUP(E300,CODIGOS!A:A,CODIGOS!B:B)," ")</f>
        <v xml:space="preserve"> </v>
      </c>
      <c r="H300" s="74" t="str">
        <f>IF(J300="SI",IFERROR(LOOKUP(E300,CODIGOS!A:A,CODIGOS!C:C)," "),IFERROR(LOOKUP(E300,CODIGOS!A:A,CODIGOS!D:D),""))</f>
        <v/>
      </c>
      <c r="J300" s="35" t="str">
        <f>IFERROR(LOOKUP(D300,SOCIO!B:B,SOCIO!C:C)," ")</f>
        <v xml:space="preserve"> </v>
      </c>
    </row>
    <row r="301" spans="1:10">
      <c r="A301" s="83" t="str">
        <f t="shared" si="4"/>
        <v xml:space="preserve"> </v>
      </c>
      <c r="C301" s="63" t="str">
        <f>IFERROR(LOOKUP(D301,SOCIO!B:B,SOCIO!A:A),"")</f>
        <v/>
      </c>
      <c r="F301" s="67" t="str">
        <f>IFERROR(LOOKUP(E301,CODIGOS!A:A,CODIGOS!B:B)," ")</f>
        <v xml:space="preserve"> </v>
      </c>
      <c r="H301" s="74" t="str">
        <f>IF(J301="SI",IFERROR(LOOKUP(E301,CODIGOS!A:A,CODIGOS!C:C)," "),IFERROR(LOOKUP(E301,CODIGOS!A:A,CODIGOS!D:D),""))</f>
        <v/>
      </c>
      <c r="J301" s="35" t="str">
        <f>IFERROR(LOOKUP(D301,SOCIO!B:B,SOCIO!C:C)," ")</f>
        <v xml:space="preserve"> </v>
      </c>
    </row>
    <row r="302" spans="1:10">
      <c r="A302" s="83" t="str">
        <f t="shared" si="4"/>
        <v xml:space="preserve"> </v>
      </c>
      <c r="C302" s="63" t="str">
        <f>IFERROR(LOOKUP(D302,SOCIO!B:B,SOCIO!A:A),"")</f>
        <v/>
      </c>
      <c r="F302" s="67" t="str">
        <f>IFERROR(LOOKUP(E302,CODIGOS!A:A,CODIGOS!B:B)," ")</f>
        <v xml:space="preserve"> </v>
      </c>
      <c r="H302" s="74" t="str">
        <f>IF(J302="SI",IFERROR(LOOKUP(E302,CODIGOS!A:A,CODIGOS!C:C)," "),IFERROR(LOOKUP(E302,CODIGOS!A:A,CODIGOS!D:D),""))</f>
        <v/>
      </c>
      <c r="J302" s="35" t="str">
        <f>IFERROR(LOOKUP(D302,SOCIO!B:B,SOCIO!C:C)," ")</f>
        <v xml:space="preserve"> </v>
      </c>
    </row>
    <row r="303" spans="1:10">
      <c r="A303" s="83" t="str">
        <f t="shared" si="4"/>
        <v xml:space="preserve"> </v>
      </c>
      <c r="C303" s="63" t="str">
        <f>IFERROR(LOOKUP(D303,SOCIO!B:B,SOCIO!A:A),"")</f>
        <v/>
      </c>
      <c r="F303" s="67" t="str">
        <f>IFERROR(LOOKUP(E303,CODIGOS!A:A,CODIGOS!B:B)," ")</f>
        <v xml:space="preserve"> </v>
      </c>
      <c r="H303" s="74" t="str">
        <f>IF(J303="SI",IFERROR(LOOKUP(E303,CODIGOS!A:A,CODIGOS!C:C)," "),IFERROR(LOOKUP(E303,CODIGOS!A:A,CODIGOS!D:D),""))</f>
        <v/>
      </c>
      <c r="J303" s="35" t="str">
        <f>IFERROR(LOOKUP(D303,SOCIO!B:B,SOCIO!C:C)," ")</f>
        <v xml:space="preserve"> </v>
      </c>
    </row>
    <row r="304" spans="1:10">
      <c r="A304" s="83" t="str">
        <f t="shared" si="4"/>
        <v xml:space="preserve"> </v>
      </c>
      <c r="C304" s="63" t="str">
        <f>IFERROR(LOOKUP(D304,SOCIO!B:B,SOCIO!A:A),"")</f>
        <v/>
      </c>
      <c r="F304" s="67" t="str">
        <f>IFERROR(LOOKUP(E304,CODIGOS!A:A,CODIGOS!B:B)," ")</f>
        <v xml:space="preserve"> </v>
      </c>
      <c r="H304" s="74" t="str">
        <f>IF(J304="SI",IFERROR(LOOKUP(E304,CODIGOS!A:A,CODIGOS!C:C)," "),IFERROR(LOOKUP(E304,CODIGOS!A:A,CODIGOS!D:D),""))</f>
        <v/>
      </c>
      <c r="J304" s="35" t="str">
        <f>IFERROR(LOOKUP(D304,SOCIO!B:B,SOCIO!C:C)," ")</f>
        <v xml:space="preserve"> </v>
      </c>
    </row>
    <row r="305" spans="1:10">
      <c r="A305" s="83" t="str">
        <f t="shared" si="4"/>
        <v xml:space="preserve"> </v>
      </c>
      <c r="C305" s="63" t="str">
        <f>IFERROR(LOOKUP(D305,SOCIO!B:B,SOCIO!A:A),"")</f>
        <v/>
      </c>
      <c r="F305" s="67" t="str">
        <f>IFERROR(LOOKUP(E305,CODIGOS!A:A,CODIGOS!B:B)," ")</f>
        <v xml:space="preserve"> </v>
      </c>
      <c r="H305" s="74" t="str">
        <f>IF(J305="SI",IFERROR(LOOKUP(E305,CODIGOS!A:A,CODIGOS!C:C)," "),IFERROR(LOOKUP(E305,CODIGOS!A:A,CODIGOS!D:D),""))</f>
        <v/>
      </c>
      <c r="J305" s="35" t="str">
        <f>IFERROR(LOOKUP(D305,SOCIO!B:B,SOCIO!C:C)," ")</f>
        <v xml:space="preserve"> </v>
      </c>
    </row>
    <row r="306" spans="1:10">
      <c r="A306" s="83" t="str">
        <f t="shared" si="4"/>
        <v xml:space="preserve"> </v>
      </c>
      <c r="C306" s="63" t="str">
        <f>IFERROR(LOOKUP(D306,SOCIO!B:B,SOCIO!A:A),"")</f>
        <v/>
      </c>
      <c r="F306" s="67" t="str">
        <f>IFERROR(LOOKUP(E306,CODIGOS!A:A,CODIGOS!B:B)," ")</f>
        <v xml:space="preserve"> </v>
      </c>
      <c r="H306" s="74" t="str">
        <f>IF(J306="SI",IFERROR(LOOKUP(E306,CODIGOS!A:A,CODIGOS!C:C)," "),IFERROR(LOOKUP(E306,CODIGOS!A:A,CODIGOS!D:D),""))</f>
        <v/>
      </c>
      <c r="J306" s="35" t="str">
        <f>IFERROR(LOOKUP(D306,SOCIO!B:B,SOCIO!C:C)," ")</f>
        <v xml:space="preserve"> </v>
      </c>
    </row>
    <row r="307" spans="1:10">
      <c r="A307" s="83" t="str">
        <f t="shared" si="4"/>
        <v xml:space="preserve"> </v>
      </c>
      <c r="C307" s="63" t="str">
        <f>IFERROR(LOOKUP(D307,SOCIO!B:B,SOCIO!A:A),"")</f>
        <v/>
      </c>
      <c r="F307" s="67" t="str">
        <f>IFERROR(LOOKUP(E307,CODIGOS!A:A,CODIGOS!B:B)," ")</f>
        <v xml:space="preserve"> </v>
      </c>
      <c r="H307" s="74" t="str">
        <f>IF(J307="SI",IFERROR(LOOKUP(E307,CODIGOS!A:A,CODIGOS!C:C)," "),IFERROR(LOOKUP(E307,CODIGOS!A:A,CODIGOS!D:D),""))</f>
        <v/>
      </c>
      <c r="J307" s="35" t="str">
        <f>IFERROR(LOOKUP(D307,SOCIO!B:B,SOCIO!C:C)," ")</f>
        <v xml:space="preserve"> </v>
      </c>
    </row>
    <row r="308" spans="1:10">
      <c r="A308" s="83" t="str">
        <f t="shared" si="4"/>
        <v xml:space="preserve"> </v>
      </c>
      <c r="C308" s="63" t="str">
        <f>IFERROR(LOOKUP(D308,SOCIO!B:B,SOCIO!A:A),"")</f>
        <v/>
      </c>
      <c r="F308" s="67" t="str">
        <f>IFERROR(LOOKUP(E308,CODIGOS!A:A,CODIGOS!B:B)," ")</f>
        <v xml:space="preserve"> </v>
      </c>
      <c r="H308" s="74" t="str">
        <f>IF(J308="SI",IFERROR(LOOKUP(E308,CODIGOS!A:A,CODIGOS!C:C)," "),IFERROR(LOOKUP(E308,CODIGOS!A:A,CODIGOS!D:D),""))</f>
        <v/>
      </c>
      <c r="J308" s="35" t="str">
        <f>IFERROR(LOOKUP(D308,SOCIO!B:B,SOCIO!C:C)," ")</f>
        <v xml:space="preserve"> </v>
      </c>
    </row>
    <row r="309" spans="1:10">
      <c r="A309" s="83" t="str">
        <f t="shared" si="4"/>
        <v xml:space="preserve"> </v>
      </c>
      <c r="C309" s="63" t="str">
        <f>IFERROR(LOOKUP(D309,SOCIO!B:B,SOCIO!A:A),"")</f>
        <v/>
      </c>
      <c r="F309" s="67" t="str">
        <f>IFERROR(LOOKUP(E309,CODIGOS!A:A,CODIGOS!B:B)," ")</f>
        <v xml:space="preserve"> </v>
      </c>
      <c r="H309" s="74" t="str">
        <f>IF(J309="SI",IFERROR(LOOKUP(E309,CODIGOS!A:A,CODIGOS!C:C)," "),IFERROR(LOOKUP(E309,CODIGOS!A:A,CODIGOS!D:D),""))</f>
        <v/>
      </c>
      <c r="J309" s="35" t="str">
        <f>IFERROR(LOOKUP(D309,SOCIO!B:B,SOCIO!C:C)," ")</f>
        <v xml:space="preserve"> </v>
      </c>
    </row>
    <row r="310" spans="1:10">
      <c r="A310" s="83" t="str">
        <f t="shared" si="4"/>
        <v xml:space="preserve"> </v>
      </c>
      <c r="C310" s="63" t="str">
        <f>IFERROR(LOOKUP(D310,SOCIO!B:B,SOCIO!A:A),"")</f>
        <v/>
      </c>
      <c r="F310" s="67" t="str">
        <f>IFERROR(LOOKUP(E310,CODIGOS!A:A,CODIGOS!B:B)," ")</f>
        <v xml:space="preserve"> </v>
      </c>
      <c r="H310" s="74" t="str">
        <f>IF(J310="SI",IFERROR(LOOKUP(E310,CODIGOS!A:A,CODIGOS!C:C)," "),IFERROR(LOOKUP(E310,CODIGOS!A:A,CODIGOS!D:D),""))</f>
        <v/>
      </c>
      <c r="J310" s="35" t="str">
        <f>IFERROR(LOOKUP(D310,SOCIO!B:B,SOCIO!C:C)," ")</f>
        <v xml:space="preserve"> </v>
      </c>
    </row>
    <row r="311" spans="1:10">
      <c r="A311" s="83" t="str">
        <f t="shared" si="4"/>
        <v xml:space="preserve"> </v>
      </c>
      <c r="C311" s="63" t="str">
        <f>IFERROR(LOOKUP(D311,SOCIO!B:B,SOCIO!A:A),"")</f>
        <v/>
      </c>
      <c r="F311" s="67" t="str">
        <f>IFERROR(LOOKUP(E311,CODIGOS!A:A,CODIGOS!B:B)," ")</f>
        <v xml:space="preserve"> </v>
      </c>
      <c r="H311" s="74" t="str">
        <f>IF(J311="SI",IFERROR(LOOKUP(E311,CODIGOS!A:A,CODIGOS!C:C)," "),IFERROR(LOOKUP(E311,CODIGOS!A:A,CODIGOS!D:D),""))</f>
        <v/>
      </c>
      <c r="J311" s="35" t="str">
        <f>IFERROR(LOOKUP(D311,SOCIO!B:B,SOCIO!C:C)," ")</f>
        <v xml:space="preserve"> </v>
      </c>
    </row>
    <row r="312" spans="1:10">
      <c r="A312" s="83" t="str">
        <f t="shared" si="4"/>
        <v xml:space="preserve"> </v>
      </c>
      <c r="C312" s="63" t="str">
        <f>IFERROR(LOOKUP(D312,SOCIO!B:B,SOCIO!A:A),"")</f>
        <v/>
      </c>
      <c r="F312" s="67" t="str">
        <f>IFERROR(LOOKUP(E312,CODIGOS!A:A,CODIGOS!B:B)," ")</f>
        <v xml:space="preserve"> </v>
      </c>
      <c r="H312" s="74" t="str">
        <f>IF(J312="SI",IFERROR(LOOKUP(E312,CODIGOS!A:A,CODIGOS!C:C)," "),IFERROR(LOOKUP(E312,CODIGOS!A:A,CODIGOS!D:D),""))</f>
        <v/>
      </c>
      <c r="J312" s="35" t="str">
        <f>IFERROR(LOOKUP(D312,SOCIO!B:B,SOCIO!C:C)," ")</f>
        <v xml:space="preserve"> </v>
      </c>
    </row>
    <row r="313" spans="1:10">
      <c r="A313" s="83" t="str">
        <f t="shared" si="4"/>
        <v xml:space="preserve"> </v>
      </c>
      <c r="C313" s="63" t="str">
        <f>IFERROR(LOOKUP(D313,SOCIO!B:B,SOCIO!A:A),"")</f>
        <v/>
      </c>
      <c r="F313" s="67" t="str">
        <f>IFERROR(LOOKUP(E313,CODIGOS!A:A,CODIGOS!B:B)," ")</f>
        <v xml:space="preserve"> </v>
      </c>
      <c r="H313" s="74" t="str">
        <f>IF(J313="SI",IFERROR(LOOKUP(E313,CODIGOS!A:A,CODIGOS!C:C)," "),IFERROR(LOOKUP(E313,CODIGOS!A:A,CODIGOS!D:D),""))</f>
        <v/>
      </c>
      <c r="J313" s="35" t="str">
        <f>IFERROR(LOOKUP(D313,SOCIO!B:B,SOCIO!C:C)," ")</f>
        <v xml:space="preserve"> </v>
      </c>
    </row>
    <row r="314" spans="1:10">
      <c r="A314" s="83" t="str">
        <f t="shared" si="4"/>
        <v xml:space="preserve"> </v>
      </c>
      <c r="C314" s="63" t="str">
        <f>IFERROR(LOOKUP(D314,SOCIO!B:B,SOCIO!A:A),"")</f>
        <v/>
      </c>
      <c r="F314" s="67" t="str">
        <f>IFERROR(LOOKUP(E314,CODIGOS!A:A,CODIGOS!B:B)," ")</f>
        <v xml:space="preserve"> </v>
      </c>
      <c r="H314" s="74" t="str">
        <f>IF(J314="SI",IFERROR(LOOKUP(E314,CODIGOS!A:A,CODIGOS!C:C)," "),IFERROR(LOOKUP(E314,CODIGOS!A:A,CODIGOS!D:D),""))</f>
        <v/>
      </c>
      <c r="J314" s="35" t="str">
        <f>IFERROR(LOOKUP(D314,SOCIO!B:B,SOCIO!C:C)," ")</f>
        <v xml:space="preserve"> </v>
      </c>
    </row>
    <row r="315" spans="1:10">
      <c r="A315" s="83" t="str">
        <f t="shared" si="4"/>
        <v xml:space="preserve"> </v>
      </c>
      <c r="C315" s="63" t="str">
        <f>IFERROR(LOOKUP(D315,SOCIO!B:B,SOCIO!A:A),"")</f>
        <v/>
      </c>
      <c r="F315" s="67" t="str">
        <f>IFERROR(LOOKUP(E315,CODIGOS!A:A,CODIGOS!B:B)," ")</f>
        <v xml:space="preserve"> </v>
      </c>
      <c r="H315" s="74" t="str">
        <f>IF(J315="SI",IFERROR(LOOKUP(E315,CODIGOS!A:A,CODIGOS!C:C)," "),IFERROR(LOOKUP(E315,CODIGOS!A:A,CODIGOS!D:D),""))</f>
        <v/>
      </c>
      <c r="J315" s="35" t="str">
        <f>IFERROR(LOOKUP(D315,SOCIO!B:B,SOCIO!C:C)," ")</f>
        <v xml:space="preserve"> </v>
      </c>
    </row>
    <row r="316" spans="1:10">
      <c r="A316" s="83" t="str">
        <f t="shared" si="4"/>
        <v xml:space="preserve"> </v>
      </c>
      <c r="C316" s="63" t="str">
        <f>IFERROR(LOOKUP(D316,SOCIO!B:B,SOCIO!A:A),"")</f>
        <v/>
      </c>
      <c r="F316" s="67" t="str">
        <f>IFERROR(LOOKUP(E316,CODIGOS!A:A,CODIGOS!B:B)," ")</f>
        <v xml:space="preserve"> </v>
      </c>
      <c r="H316" s="74" t="str">
        <f>IF(J316="SI",IFERROR(LOOKUP(E316,CODIGOS!A:A,CODIGOS!C:C)," "),IFERROR(LOOKUP(E316,CODIGOS!A:A,CODIGOS!D:D),""))</f>
        <v/>
      </c>
      <c r="J316" s="35" t="str">
        <f>IFERROR(LOOKUP(D316,SOCIO!B:B,SOCIO!C:C)," ")</f>
        <v xml:space="preserve"> </v>
      </c>
    </row>
    <row r="317" spans="1:10">
      <c r="A317" s="83" t="str">
        <f t="shared" si="4"/>
        <v xml:space="preserve"> </v>
      </c>
      <c r="C317" s="63" t="str">
        <f>IFERROR(LOOKUP(D317,SOCIO!B:B,SOCIO!A:A),"")</f>
        <v/>
      </c>
      <c r="F317" s="67" t="str">
        <f>IFERROR(LOOKUP(E317,CODIGOS!A:A,CODIGOS!B:B)," ")</f>
        <v xml:space="preserve"> </v>
      </c>
      <c r="H317" s="74" t="str">
        <f>IF(J317="SI",IFERROR(LOOKUP(E317,CODIGOS!A:A,CODIGOS!C:C)," "),IFERROR(LOOKUP(E317,CODIGOS!A:A,CODIGOS!D:D),""))</f>
        <v/>
      </c>
      <c r="J317" s="35" t="str">
        <f>IFERROR(LOOKUP(D317,SOCIO!B:B,SOCIO!C:C)," ")</f>
        <v xml:space="preserve"> </v>
      </c>
    </row>
    <row r="318" spans="1:10">
      <c r="A318" s="83" t="str">
        <f t="shared" si="4"/>
        <v xml:space="preserve"> </v>
      </c>
      <c r="C318" s="63" t="str">
        <f>IFERROR(LOOKUP(D318,SOCIO!B:B,SOCIO!A:A),"")</f>
        <v/>
      </c>
      <c r="F318" s="67" t="str">
        <f>IFERROR(LOOKUP(E318,CODIGOS!A:A,CODIGOS!B:B)," ")</f>
        <v xml:space="preserve"> </v>
      </c>
      <c r="H318" s="74" t="str">
        <f>IF(J318="SI",IFERROR(LOOKUP(E318,CODIGOS!A:A,CODIGOS!C:C)," "),IFERROR(LOOKUP(E318,CODIGOS!A:A,CODIGOS!D:D),""))</f>
        <v/>
      </c>
      <c r="J318" s="35" t="str">
        <f>IFERROR(LOOKUP(D318,SOCIO!B:B,SOCIO!C:C)," ")</f>
        <v xml:space="preserve"> </v>
      </c>
    </row>
    <row r="319" spans="1:10">
      <c r="A319" s="83" t="str">
        <f t="shared" si="4"/>
        <v xml:space="preserve"> </v>
      </c>
      <c r="C319" s="63" t="str">
        <f>IFERROR(LOOKUP(D319,SOCIO!B:B,SOCIO!A:A),"")</f>
        <v/>
      </c>
      <c r="F319" s="67" t="str">
        <f>IFERROR(LOOKUP(E319,CODIGOS!A:A,CODIGOS!B:B)," ")</f>
        <v xml:space="preserve"> </v>
      </c>
      <c r="H319" s="74" t="str">
        <f>IF(J319="SI",IFERROR(LOOKUP(E319,CODIGOS!A:A,CODIGOS!C:C)," "),IFERROR(LOOKUP(E319,CODIGOS!A:A,CODIGOS!D:D),""))</f>
        <v/>
      </c>
      <c r="J319" s="35" t="str">
        <f>IFERROR(LOOKUP(D319,SOCIO!B:B,SOCIO!C:C)," ")</f>
        <v xml:space="preserve"> </v>
      </c>
    </row>
    <row r="320" spans="1:10">
      <c r="A320" s="83" t="str">
        <f t="shared" si="4"/>
        <v xml:space="preserve"> </v>
      </c>
      <c r="C320" s="63" t="str">
        <f>IFERROR(LOOKUP(D320,SOCIO!B:B,SOCIO!A:A),"")</f>
        <v/>
      </c>
      <c r="F320" s="67" t="str">
        <f>IFERROR(LOOKUP(E320,CODIGOS!A:A,CODIGOS!B:B)," ")</f>
        <v xml:space="preserve"> </v>
      </c>
      <c r="H320" s="74" t="str">
        <f>IF(J320="SI",IFERROR(LOOKUP(E320,CODIGOS!A:A,CODIGOS!C:C)," "),IFERROR(LOOKUP(E320,CODIGOS!A:A,CODIGOS!D:D),""))</f>
        <v/>
      </c>
      <c r="J320" s="35" t="str">
        <f>IFERROR(LOOKUP(D320,SOCIO!B:B,SOCIO!C:C)," ")</f>
        <v xml:space="preserve"> </v>
      </c>
    </row>
    <row r="321" spans="1:10">
      <c r="A321" s="83" t="str">
        <f t="shared" si="4"/>
        <v xml:space="preserve"> </v>
      </c>
      <c r="C321" s="63" t="str">
        <f>IFERROR(LOOKUP(D321,SOCIO!B:B,SOCIO!A:A),"")</f>
        <v/>
      </c>
      <c r="F321" s="67" t="str">
        <f>IFERROR(LOOKUP(E321,CODIGOS!A:A,CODIGOS!B:B)," ")</f>
        <v xml:space="preserve"> </v>
      </c>
      <c r="H321" s="74" t="str">
        <f>IF(J321="SI",IFERROR(LOOKUP(E321,CODIGOS!A:A,CODIGOS!C:C)," "),IFERROR(LOOKUP(E321,CODIGOS!A:A,CODIGOS!D:D),""))</f>
        <v/>
      </c>
      <c r="J321" s="35" t="str">
        <f>IFERROR(LOOKUP(D321,SOCIO!B:B,SOCIO!C:C)," ")</f>
        <v xml:space="preserve"> </v>
      </c>
    </row>
    <row r="322" spans="1:10">
      <c r="A322" s="83" t="str">
        <f t="shared" ref="A322:A385" si="5">IF(B322&lt;&gt;0,A321+1," ")</f>
        <v xml:space="preserve"> </v>
      </c>
      <c r="C322" s="63" t="str">
        <f>IFERROR(LOOKUP(D322,SOCIO!B:B,SOCIO!A:A),"")</f>
        <v/>
      </c>
      <c r="F322" s="67" t="str">
        <f>IFERROR(LOOKUP(E322,CODIGOS!A:A,CODIGOS!B:B)," ")</f>
        <v xml:space="preserve"> </v>
      </c>
      <c r="H322" s="74" t="str">
        <f>IF(J322="SI",IFERROR(LOOKUP(E322,CODIGOS!A:A,CODIGOS!C:C)," "),IFERROR(LOOKUP(E322,CODIGOS!A:A,CODIGOS!D:D),""))</f>
        <v/>
      </c>
      <c r="J322" s="35" t="str">
        <f>IFERROR(LOOKUP(D322,SOCIO!B:B,SOCIO!C:C)," ")</f>
        <v xml:space="preserve"> </v>
      </c>
    </row>
    <row r="323" spans="1:10">
      <c r="A323" s="83" t="str">
        <f t="shared" si="5"/>
        <v xml:space="preserve"> </v>
      </c>
      <c r="C323" s="63" t="str">
        <f>IFERROR(LOOKUP(D323,SOCIO!B:B,SOCIO!A:A),"")</f>
        <v/>
      </c>
      <c r="F323" s="67" t="str">
        <f>IFERROR(LOOKUP(E323,CODIGOS!A:A,CODIGOS!B:B)," ")</f>
        <v xml:space="preserve"> </v>
      </c>
      <c r="H323" s="74" t="str">
        <f>IF(J323="SI",IFERROR(LOOKUP(E323,CODIGOS!A:A,CODIGOS!C:C)," "),IFERROR(LOOKUP(E323,CODIGOS!A:A,CODIGOS!D:D),""))</f>
        <v/>
      </c>
      <c r="J323" s="35" t="str">
        <f>IFERROR(LOOKUP(D323,SOCIO!B:B,SOCIO!C:C)," ")</f>
        <v xml:space="preserve"> </v>
      </c>
    </row>
    <row r="324" spans="1:10">
      <c r="A324" s="83" t="str">
        <f t="shared" si="5"/>
        <v xml:space="preserve"> </v>
      </c>
      <c r="C324" s="63" t="str">
        <f>IFERROR(LOOKUP(D324,SOCIO!B:B,SOCIO!A:A),"")</f>
        <v/>
      </c>
      <c r="F324" s="67" t="str">
        <f>IFERROR(LOOKUP(E324,CODIGOS!A:A,CODIGOS!B:B)," ")</f>
        <v xml:space="preserve"> </v>
      </c>
      <c r="H324" s="74" t="str">
        <f>IF(J324="SI",IFERROR(LOOKUP(E324,CODIGOS!A:A,CODIGOS!C:C)," "),IFERROR(LOOKUP(E324,CODIGOS!A:A,CODIGOS!D:D),""))</f>
        <v/>
      </c>
      <c r="J324" s="35" t="str">
        <f>IFERROR(LOOKUP(D324,SOCIO!B:B,SOCIO!C:C)," ")</f>
        <v xml:space="preserve"> </v>
      </c>
    </row>
    <row r="325" spans="1:10">
      <c r="A325" s="83" t="str">
        <f t="shared" si="5"/>
        <v xml:space="preserve"> </v>
      </c>
      <c r="C325" s="63" t="str">
        <f>IFERROR(LOOKUP(D325,SOCIO!B:B,SOCIO!A:A),"")</f>
        <v/>
      </c>
      <c r="F325" s="67" t="str">
        <f>IFERROR(LOOKUP(E325,CODIGOS!A:A,CODIGOS!B:B)," ")</f>
        <v xml:space="preserve"> </v>
      </c>
      <c r="H325" s="74" t="str">
        <f>IF(J325="SI",IFERROR(LOOKUP(E325,CODIGOS!A:A,CODIGOS!C:C)," "),IFERROR(LOOKUP(E325,CODIGOS!A:A,CODIGOS!D:D),""))</f>
        <v/>
      </c>
      <c r="J325" s="35" t="str">
        <f>IFERROR(LOOKUP(D325,SOCIO!B:B,SOCIO!C:C)," ")</f>
        <v xml:space="preserve"> </v>
      </c>
    </row>
    <row r="326" spans="1:10">
      <c r="A326" s="83" t="str">
        <f t="shared" si="5"/>
        <v xml:space="preserve"> </v>
      </c>
      <c r="C326" s="63" t="str">
        <f>IFERROR(LOOKUP(D326,SOCIO!B:B,SOCIO!A:A),"")</f>
        <v/>
      </c>
      <c r="F326" s="67" t="str">
        <f>IFERROR(LOOKUP(E326,CODIGOS!A:A,CODIGOS!B:B)," ")</f>
        <v xml:space="preserve"> </v>
      </c>
      <c r="H326" s="74" t="str">
        <f>IF(J326="SI",IFERROR(LOOKUP(E326,CODIGOS!A:A,CODIGOS!C:C)," "),IFERROR(LOOKUP(E326,CODIGOS!A:A,CODIGOS!D:D),""))</f>
        <v/>
      </c>
      <c r="J326" s="35" t="str">
        <f>IFERROR(LOOKUP(D326,SOCIO!B:B,SOCIO!C:C)," ")</f>
        <v xml:space="preserve"> </v>
      </c>
    </row>
    <row r="327" spans="1:10">
      <c r="A327" s="83" t="str">
        <f t="shared" si="5"/>
        <v xml:space="preserve"> </v>
      </c>
      <c r="C327" s="63" t="str">
        <f>IFERROR(LOOKUP(D327,SOCIO!B:B,SOCIO!A:A),"")</f>
        <v/>
      </c>
      <c r="F327" s="67" t="str">
        <f>IFERROR(LOOKUP(E327,CODIGOS!A:A,CODIGOS!B:B)," ")</f>
        <v xml:space="preserve"> </v>
      </c>
      <c r="H327" s="74" t="str">
        <f>IF(J327="SI",IFERROR(LOOKUP(E327,CODIGOS!A:A,CODIGOS!C:C)," "),IFERROR(LOOKUP(E327,CODIGOS!A:A,CODIGOS!D:D),""))</f>
        <v/>
      </c>
      <c r="J327" s="35" t="str">
        <f>IFERROR(LOOKUP(D327,SOCIO!B:B,SOCIO!C:C)," ")</f>
        <v xml:space="preserve"> </v>
      </c>
    </row>
    <row r="328" spans="1:10">
      <c r="A328" s="83" t="str">
        <f t="shared" si="5"/>
        <v xml:space="preserve"> </v>
      </c>
      <c r="C328" s="63" t="str">
        <f>IFERROR(LOOKUP(D328,SOCIO!B:B,SOCIO!A:A),"")</f>
        <v/>
      </c>
      <c r="F328" s="67" t="str">
        <f>IFERROR(LOOKUP(E328,CODIGOS!A:A,CODIGOS!B:B)," ")</f>
        <v xml:space="preserve"> </v>
      </c>
      <c r="H328" s="74" t="str">
        <f>IF(J328="SI",IFERROR(LOOKUP(E328,CODIGOS!A:A,CODIGOS!C:C)," "),IFERROR(LOOKUP(E328,CODIGOS!A:A,CODIGOS!D:D),""))</f>
        <v/>
      </c>
      <c r="J328" s="35" t="str">
        <f>IFERROR(LOOKUP(D328,SOCIO!B:B,SOCIO!C:C)," ")</f>
        <v xml:space="preserve"> </v>
      </c>
    </row>
    <row r="329" spans="1:10">
      <c r="A329" s="83" t="str">
        <f t="shared" si="5"/>
        <v xml:space="preserve"> </v>
      </c>
      <c r="C329" s="63" t="str">
        <f>IFERROR(LOOKUP(D329,SOCIO!B:B,SOCIO!A:A),"")</f>
        <v/>
      </c>
      <c r="F329" s="67" t="str">
        <f>IFERROR(LOOKUP(E329,CODIGOS!A:A,CODIGOS!B:B)," ")</f>
        <v xml:space="preserve"> </v>
      </c>
      <c r="H329" s="74" t="str">
        <f>IF(J329="SI",IFERROR(LOOKUP(E329,CODIGOS!A:A,CODIGOS!C:C)," "),IFERROR(LOOKUP(E329,CODIGOS!A:A,CODIGOS!D:D),""))</f>
        <v/>
      </c>
      <c r="J329" s="35" t="str">
        <f>IFERROR(LOOKUP(D329,SOCIO!B:B,SOCIO!C:C)," ")</f>
        <v xml:space="preserve"> </v>
      </c>
    </row>
    <row r="330" spans="1:10">
      <c r="A330" s="83" t="str">
        <f t="shared" si="5"/>
        <v xml:space="preserve"> </v>
      </c>
      <c r="C330" s="63" t="str">
        <f>IFERROR(LOOKUP(D330,SOCIO!B:B,SOCIO!A:A),"")</f>
        <v/>
      </c>
      <c r="F330" s="67" t="str">
        <f>IFERROR(LOOKUP(E330,CODIGOS!A:A,CODIGOS!B:B)," ")</f>
        <v xml:space="preserve"> </v>
      </c>
      <c r="H330" s="74" t="str">
        <f>IF(J330="SI",IFERROR(LOOKUP(E330,CODIGOS!A:A,CODIGOS!C:C)," "),IFERROR(LOOKUP(E330,CODIGOS!A:A,CODIGOS!D:D),""))</f>
        <v/>
      </c>
      <c r="J330" s="35" t="str">
        <f>IFERROR(LOOKUP(D330,SOCIO!B:B,SOCIO!C:C)," ")</f>
        <v xml:space="preserve"> </v>
      </c>
    </row>
    <row r="331" spans="1:10">
      <c r="A331" s="83" t="str">
        <f t="shared" si="5"/>
        <v xml:space="preserve"> </v>
      </c>
      <c r="C331" s="63" t="str">
        <f>IFERROR(LOOKUP(D331,SOCIO!B:B,SOCIO!A:A),"")</f>
        <v/>
      </c>
      <c r="F331" s="67" t="str">
        <f>IFERROR(LOOKUP(E331,CODIGOS!A:A,CODIGOS!B:B)," ")</f>
        <v xml:space="preserve"> </v>
      </c>
      <c r="H331" s="74" t="str">
        <f>IF(J331="SI",IFERROR(LOOKUP(E331,CODIGOS!A:A,CODIGOS!C:C)," "),IFERROR(LOOKUP(E331,CODIGOS!A:A,CODIGOS!D:D),""))</f>
        <v/>
      </c>
      <c r="J331" s="35" t="str">
        <f>IFERROR(LOOKUP(D331,SOCIO!B:B,SOCIO!C:C)," ")</f>
        <v xml:space="preserve"> </v>
      </c>
    </row>
    <row r="332" spans="1:10">
      <c r="A332" s="83" t="str">
        <f t="shared" si="5"/>
        <v xml:space="preserve"> </v>
      </c>
      <c r="C332" s="63" t="str">
        <f>IFERROR(LOOKUP(D332,SOCIO!B:B,SOCIO!A:A),"")</f>
        <v/>
      </c>
      <c r="F332" s="67" t="str">
        <f>IFERROR(LOOKUP(E332,CODIGOS!A:A,CODIGOS!B:B)," ")</f>
        <v xml:space="preserve"> </v>
      </c>
      <c r="H332" s="74" t="str">
        <f>IF(J332="SI",IFERROR(LOOKUP(E332,CODIGOS!A:A,CODIGOS!C:C)," "),IFERROR(LOOKUP(E332,CODIGOS!A:A,CODIGOS!D:D),""))</f>
        <v/>
      </c>
      <c r="J332" s="35" t="str">
        <f>IFERROR(LOOKUP(D332,SOCIO!B:B,SOCIO!C:C)," ")</f>
        <v xml:space="preserve"> </v>
      </c>
    </row>
    <row r="333" spans="1:10">
      <c r="A333" s="83" t="str">
        <f t="shared" si="5"/>
        <v xml:space="preserve"> </v>
      </c>
      <c r="C333" s="63" t="str">
        <f>IFERROR(LOOKUP(D333,SOCIO!B:B,SOCIO!A:A),"")</f>
        <v/>
      </c>
      <c r="F333" s="67" t="str">
        <f>IFERROR(LOOKUP(E333,CODIGOS!A:A,CODIGOS!B:B)," ")</f>
        <v xml:space="preserve"> </v>
      </c>
      <c r="H333" s="74" t="str">
        <f>IF(J333="SI",IFERROR(LOOKUP(E333,CODIGOS!A:A,CODIGOS!C:C)," "),IFERROR(LOOKUP(E333,CODIGOS!A:A,CODIGOS!D:D),""))</f>
        <v/>
      </c>
      <c r="J333" s="35" t="str">
        <f>IFERROR(LOOKUP(D333,SOCIO!B:B,SOCIO!C:C)," ")</f>
        <v xml:space="preserve"> </v>
      </c>
    </row>
    <row r="334" spans="1:10">
      <c r="A334" s="83" t="str">
        <f t="shared" si="5"/>
        <v xml:space="preserve"> </v>
      </c>
      <c r="C334" s="63" t="str">
        <f>IFERROR(LOOKUP(D334,SOCIO!B:B,SOCIO!A:A),"")</f>
        <v/>
      </c>
      <c r="F334" s="67" t="str">
        <f>IFERROR(LOOKUP(E334,CODIGOS!A:A,CODIGOS!B:B)," ")</f>
        <v xml:space="preserve"> </v>
      </c>
      <c r="H334" s="74" t="str">
        <f>IF(J334="SI",IFERROR(LOOKUP(E334,CODIGOS!A:A,CODIGOS!C:C)," "),IFERROR(LOOKUP(E334,CODIGOS!A:A,CODIGOS!D:D),""))</f>
        <v/>
      </c>
      <c r="J334" s="35" t="str">
        <f>IFERROR(LOOKUP(D334,SOCIO!B:B,SOCIO!C:C)," ")</f>
        <v xml:space="preserve"> </v>
      </c>
    </row>
    <row r="335" spans="1:10">
      <c r="A335" s="83" t="str">
        <f t="shared" si="5"/>
        <v xml:space="preserve"> </v>
      </c>
      <c r="C335" s="63" t="str">
        <f>IFERROR(LOOKUP(D335,SOCIO!B:B,SOCIO!A:A),"")</f>
        <v/>
      </c>
      <c r="F335" s="67" t="str">
        <f>IFERROR(LOOKUP(E335,CODIGOS!A:A,CODIGOS!B:B)," ")</f>
        <v xml:space="preserve"> </v>
      </c>
      <c r="H335" s="74" t="str">
        <f>IF(J335="SI",IFERROR(LOOKUP(E335,CODIGOS!A:A,CODIGOS!C:C)," "),IFERROR(LOOKUP(E335,CODIGOS!A:A,CODIGOS!D:D),""))</f>
        <v/>
      </c>
      <c r="J335" s="35" t="str">
        <f>IFERROR(LOOKUP(D335,SOCIO!B:B,SOCIO!C:C)," ")</f>
        <v xml:space="preserve"> </v>
      </c>
    </row>
    <row r="336" spans="1:10">
      <c r="A336" s="83" t="str">
        <f t="shared" si="5"/>
        <v xml:space="preserve"> </v>
      </c>
      <c r="C336" s="63" t="str">
        <f>IFERROR(LOOKUP(D336,SOCIO!B:B,SOCIO!A:A),"")</f>
        <v/>
      </c>
      <c r="F336" s="67" t="str">
        <f>IFERROR(LOOKUP(E336,CODIGOS!A:A,CODIGOS!B:B)," ")</f>
        <v xml:space="preserve"> </v>
      </c>
      <c r="H336" s="74" t="str">
        <f>IF(J336="SI",IFERROR(LOOKUP(E336,CODIGOS!A:A,CODIGOS!C:C)," "),IFERROR(LOOKUP(E336,CODIGOS!A:A,CODIGOS!D:D),""))</f>
        <v/>
      </c>
      <c r="J336" s="35" t="str">
        <f>IFERROR(LOOKUP(D336,SOCIO!B:B,SOCIO!C:C)," ")</f>
        <v xml:space="preserve"> </v>
      </c>
    </row>
    <row r="337" spans="1:10">
      <c r="A337" s="83" t="str">
        <f t="shared" si="5"/>
        <v xml:space="preserve"> </v>
      </c>
      <c r="C337" s="63" t="str">
        <f>IFERROR(LOOKUP(D337,SOCIO!B:B,SOCIO!A:A),"")</f>
        <v/>
      </c>
      <c r="F337" s="67" t="str">
        <f>IFERROR(LOOKUP(E337,CODIGOS!A:A,CODIGOS!B:B)," ")</f>
        <v xml:space="preserve"> </v>
      </c>
      <c r="H337" s="74" t="str">
        <f>IF(J337="SI",IFERROR(LOOKUP(E337,CODIGOS!A:A,CODIGOS!C:C)," "),IFERROR(LOOKUP(E337,CODIGOS!A:A,CODIGOS!D:D),""))</f>
        <v/>
      </c>
      <c r="J337" s="35" t="str">
        <f>IFERROR(LOOKUP(D337,SOCIO!B:B,SOCIO!C:C)," ")</f>
        <v xml:space="preserve"> </v>
      </c>
    </row>
    <row r="338" spans="1:10">
      <c r="A338" s="83" t="str">
        <f t="shared" si="5"/>
        <v xml:space="preserve"> </v>
      </c>
      <c r="C338" s="63" t="str">
        <f>IFERROR(LOOKUP(D338,SOCIO!B:B,SOCIO!A:A),"")</f>
        <v/>
      </c>
      <c r="F338" s="67" t="str">
        <f>IFERROR(LOOKUP(E338,CODIGOS!A:A,CODIGOS!B:B)," ")</f>
        <v xml:space="preserve"> </v>
      </c>
      <c r="H338" s="74" t="str">
        <f>IF(J338="SI",IFERROR(LOOKUP(E338,CODIGOS!A:A,CODIGOS!C:C)," "),IFERROR(LOOKUP(E338,CODIGOS!A:A,CODIGOS!D:D),""))</f>
        <v/>
      </c>
      <c r="J338" s="35" t="str">
        <f>IFERROR(LOOKUP(D338,SOCIO!B:B,SOCIO!C:C)," ")</f>
        <v xml:space="preserve"> </v>
      </c>
    </row>
    <row r="339" spans="1:10">
      <c r="A339" s="83" t="str">
        <f t="shared" si="5"/>
        <v xml:space="preserve"> </v>
      </c>
      <c r="C339" s="63" t="str">
        <f>IFERROR(LOOKUP(D339,SOCIO!B:B,SOCIO!A:A),"")</f>
        <v/>
      </c>
      <c r="F339" s="67" t="str">
        <f>IFERROR(LOOKUP(E339,CODIGOS!A:A,CODIGOS!B:B)," ")</f>
        <v xml:space="preserve"> </v>
      </c>
      <c r="H339" s="74" t="str">
        <f>IF(J339="SI",IFERROR(LOOKUP(E339,CODIGOS!A:A,CODIGOS!C:C)," "),IFERROR(LOOKUP(E339,CODIGOS!A:A,CODIGOS!D:D),""))</f>
        <v/>
      </c>
      <c r="J339" s="35" t="str">
        <f>IFERROR(LOOKUP(D339,SOCIO!B:B,SOCIO!C:C)," ")</f>
        <v xml:space="preserve"> </v>
      </c>
    </row>
    <row r="340" spans="1:10">
      <c r="A340" s="83" t="str">
        <f t="shared" si="5"/>
        <v xml:space="preserve"> </v>
      </c>
      <c r="C340" s="63" t="str">
        <f>IFERROR(LOOKUP(D340,SOCIO!B:B,SOCIO!A:A),"")</f>
        <v/>
      </c>
      <c r="F340" s="67" t="str">
        <f>IFERROR(LOOKUP(E340,CODIGOS!A:A,CODIGOS!B:B)," ")</f>
        <v xml:space="preserve"> </v>
      </c>
      <c r="H340" s="74" t="str">
        <f>IF(J340="SI",IFERROR(LOOKUP(E340,CODIGOS!A:A,CODIGOS!C:C)," "),IFERROR(LOOKUP(E340,CODIGOS!A:A,CODIGOS!D:D),""))</f>
        <v/>
      </c>
      <c r="J340" s="35" t="str">
        <f>IFERROR(LOOKUP(D340,SOCIO!B:B,SOCIO!C:C)," ")</f>
        <v xml:space="preserve"> </v>
      </c>
    </row>
    <row r="341" spans="1:10">
      <c r="A341" s="83" t="str">
        <f t="shared" si="5"/>
        <v xml:space="preserve"> </v>
      </c>
      <c r="C341" s="63" t="str">
        <f>IFERROR(LOOKUP(D341,SOCIO!B:B,SOCIO!A:A),"")</f>
        <v/>
      </c>
      <c r="F341" s="67" t="str">
        <f>IFERROR(LOOKUP(E341,CODIGOS!A:A,CODIGOS!B:B)," ")</f>
        <v xml:space="preserve"> </v>
      </c>
      <c r="H341" s="74" t="str">
        <f>IF(J341="SI",IFERROR(LOOKUP(E341,CODIGOS!A:A,CODIGOS!C:C)," "),IFERROR(LOOKUP(E341,CODIGOS!A:A,CODIGOS!D:D),""))</f>
        <v/>
      </c>
      <c r="J341" s="35" t="str">
        <f>IFERROR(LOOKUP(D341,SOCIO!B:B,SOCIO!C:C)," ")</f>
        <v xml:space="preserve"> </v>
      </c>
    </row>
    <row r="342" spans="1:10">
      <c r="A342" s="83" t="str">
        <f t="shared" si="5"/>
        <v xml:space="preserve"> </v>
      </c>
      <c r="C342" s="63" t="str">
        <f>IFERROR(LOOKUP(D342,SOCIO!B:B,SOCIO!A:A),"")</f>
        <v/>
      </c>
      <c r="F342" s="67" t="str">
        <f>IFERROR(LOOKUP(E342,CODIGOS!A:A,CODIGOS!B:B)," ")</f>
        <v xml:space="preserve"> </v>
      </c>
      <c r="H342" s="74" t="str">
        <f>IF(J342="SI",IFERROR(LOOKUP(E342,CODIGOS!A:A,CODIGOS!C:C)," "),IFERROR(LOOKUP(E342,CODIGOS!A:A,CODIGOS!D:D),""))</f>
        <v/>
      </c>
      <c r="J342" s="35" t="str">
        <f>IFERROR(LOOKUP(D342,SOCIO!B:B,SOCIO!C:C)," ")</f>
        <v xml:space="preserve"> </v>
      </c>
    </row>
    <row r="343" spans="1:10">
      <c r="A343" s="83" t="str">
        <f t="shared" si="5"/>
        <v xml:space="preserve"> </v>
      </c>
      <c r="C343" s="63" t="str">
        <f>IFERROR(LOOKUP(D343,SOCIO!B:B,SOCIO!A:A),"")</f>
        <v/>
      </c>
      <c r="F343" s="67" t="str">
        <f>IFERROR(LOOKUP(E343,CODIGOS!A:A,CODIGOS!B:B)," ")</f>
        <v xml:space="preserve"> </v>
      </c>
      <c r="H343" s="74" t="str">
        <f>IF(J343="SI",IFERROR(LOOKUP(E343,CODIGOS!A:A,CODIGOS!C:C)," "),IFERROR(LOOKUP(E343,CODIGOS!A:A,CODIGOS!D:D),""))</f>
        <v/>
      </c>
      <c r="J343" s="35" t="str">
        <f>IFERROR(LOOKUP(D343,SOCIO!B:B,SOCIO!C:C)," ")</f>
        <v xml:space="preserve"> </v>
      </c>
    </row>
    <row r="344" spans="1:10">
      <c r="A344" s="83" t="str">
        <f t="shared" si="5"/>
        <v xml:space="preserve"> </v>
      </c>
      <c r="C344" s="63" t="str">
        <f>IFERROR(LOOKUP(D344,SOCIO!B:B,SOCIO!A:A),"")</f>
        <v/>
      </c>
      <c r="F344" s="67" t="str">
        <f>IFERROR(LOOKUP(E344,CODIGOS!A:A,CODIGOS!B:B)," ")</f>
        <v xml:space="preserve"> </v>
      </c>
      <c r="H344" s="74" t="str">
        <f>IF(J344="SI",IFERROR(LOOKUP(E344,CODIGOS!A:A,CODIGOS!C:C)," "),IFERROR(LOOKUP(E344,CODIGOS!A:A,CODIGOS!D:D),""))</f>
        <v/>
      </c>
      <c r="J344" s="35" t="str">
        <f>IFERROR(LOOKUP(D344,SOCIO!B:B,SOCIO!C:C)," ")</f>
        <v xml:space="preserve"> </v>
      </c>
    </row>
    <row r="345" spans="1:10">
      <c r="A345" s="83" t="str">
        <f t="shared" si="5"/>
        <v xml:space="preserve"> </v>
      </c>
      <c r="C345" s="63" t="str">
        <f>IFERROR(LOOKUP(D345,SOCIO!B:B,SOCIO!A:A),"")</f>
        <v/>
      </c>
      <c r="F345" s="67" t="str">
        <f>IFERROR(LOOKUP(E345,CODIGOS!A:A,CODIGOS!B:B)," ")</f>
        <v xml:space="preserve"> </v>
      </c>
      <c r="H345" s="74" t="str">
        <f>IF(J345="SI",IFERROR(LOOKUP(E345,CODIGOS!A:A,CODIGOS!C:C)," "),IFERROR(LOOKUP(E345,CODIGOS!A:A,CODIGOS!D:D),""))</f>
        <v/>
      </c>
      <c r="J345" s="35" t="str">
        <f>IFERROR(LOOKUP(D345,SOCIO!B:B,SOCIO!C:C)," ")</f>
        <v xml:space="preserve"> </v>
      </c>
    </row>
    <row r="346" spans="1:10">
      <c r="A346" s="83" t="str">
        <f t="shared" si="5"/>
        <v xml:space="preserve"> </v>
      </c>
      <c r="C346" s="63" t="str">
        <f>IFERROR(LOOKUP(D346,SOCIO!B:B,SOCIO!A:A),"")</f>
        <v/>
      </c>
      <c r="F346" s="67" t="str">
        <f>IFERROR(LOOKUP(E346,CODIGOS!A:A,CODIGOS!B:B)," ")</f>
        <v xml:space="preserve"> </v>
      </c>
      <c r="H346" s="74" t="str">
        <f>IF(J346="SI",IFERROR(LOOKUP(E346,CODIGOS!A:A,CODIGOS!C:C)," "),IFERROR(LOOKUP(E346,CODIGOS!A:A,CODIGOS!D:D),""))</f>
        <v/>
      </c>
      <c r="J346" s="35" t="str">
        <f>IFERROR(LOOKUP(D346,SOCIO!B:B,SOCIO!C:C)," ")</f>
        <v xml:space="preserve"> </v>
      </c>
    </row>
    <row r="347" spans="1:10">
      <c r="A347" s="83" t="str">
        <f t="shared" si="5"/>
        <v xml:space="preserve"> </v>
      </c>
      <c r="C347" s="63" t="str">
        <f>IFERROR(LOOKUP(D347,SOCIO!B:B,SOCIO!A:A),"")</f>
        <v/>
      </c>
      <c r="F347" s="67" t="str">
        <f>IFERROR(LOOKUP(E347,CODIGOS!A:A,CODIGOS!B:B)," ")</f>
        <v xml:space="preserve"> </v>
      </c>
      <c r="H347" s="74" t="str">
        <f>IF(J347="SI",IFERROR(LOOKUP(E347,CODIGOS!A:A,CODIGOS!C:C)," "),IFERROR(LOOKUP(E347,CODIGOS!A:A,CODIGOS!D:D),""))</f>
        <v/>
      </c>
      <c r="J347" s="35" t="str">
        <f>IFERROR(LOOKUP(D347,SOCIO!B:B,SOCIO!C:C)," ")</f>
        <v xml:space="preserve"> </v>
      </c>
    </row>
    <row r="348" spans="1:10">
      <c r="A348" s="83" t="str">
        <f t="shared" si="5"/>
        <v xml:space="preserve"> </v>
      </c>
      <c r="C348" s="63" t="str">
        <f>IFERROR(LOOKUP(D348,SOCIO!B:B,SOCIO!A:A),"")</f>
        <v/>
      </c>
      <c r="F348" s="67" t="str">
        <f>IFERROR(LOOKUP(E348,CODIGOS!A:A,CODIGOS!B:B)," ")</f>
        <v xml:space="preserve"> </v>
      </c>
      <c r="H348" s="74" t="str">
        <f>IF(J348="SI",IFERROR(LOOKUP(E348,CODIGOS!A:A,CODIGOS!C:C)," "),IFERROR(LOOKUP(E348,CODIGOS!A:A,CODIGOS!D:D),""))</f>
        <v/>
      </c>
      <c r="J348" s="35" t="str">
        <f>IFERROR(LOOKUP(D348,SOCIO!B:B,SOCIO!C:C)," ")</f>
        <v xml:space="preserve"> </v>
      </c>
    </row>
    <row r="349" spans="1:10">
      <c r="A349" s="83" t="str">
        <f t="shared" si="5"/>
        <v xml:space="preserve"> </v>
      </c>
      <c r="C349" s="63" t="str">
        <f>IFERROR(LOOKUP(D349,SOCIO!B:B,SOCIO!A:A),"")</f>
        <v/>
      </c>
      <c r="F349" s="67" t="str">
        <f>IFERROR(LOOKUP(E349,CODIGOS!A:A,CODIGOS!B:B)," ")</f>
        <v xml:space="preserve"> </v>
      </c>
      <c r="H349" s="74" t="str">
        <f>IF(J349="SI",IFERROR(LOOKUP(E349,CODIGOS!A:A,CODIGOS!C:C)," "),IFERROR(LOOKUP(E349,CODIGOS!A:A,CODIGOS!D:D),""))</f>
        <v/>
      </c>
      <c r="J349" s="35" t="str">
        <f>IFERROR(LOOKUP(D349,SOCIO!B:B,SOCIO!C:C)," ")</f>
        <v xml:space="preserve"> </v>
      </c>
    </row>
    <row r="350" spans="1:10">
      <c r="A350" s="83" t="str">
        <f t="shared" si="5"/>
        <v xml:space="preserve"> </v>
      </c>
      <c r="C350" s="63" t="str">
        <f>IFERROR(LOOKUP(D350,SOCIO!B:B,SOCIO!A:A),"")</f>
        <v/>
      </c>
      <c r="F350" s="67" t="str">
        <f>IFERROR(LOOKUP(E350,CODIGOS!A:A,CODIGOS!B:B)," ")</f>
        <v xml:space="preserve"> </v>
      </c>
      <c r="H350" s="74" t="str">
        <f>IF(J350="SI",IFERROR(LOOKUP(E350,CODIGOS!A:A,CODIGOS!C:C)," "),IFERROR(LOOKUP(E350,CODIGOS!A:A,CODIGOS!D:D),""))</f>
        <v/>
      </c>
      <c r="J350" s="35" t="str">
        <f>IFERROR(LOOKUP(D350,SOCIO!B:B,SOCIO!C:C)," ")</f>
        <v xml:space="preserve"> </v>
      </c>
    </row>
    <row r="351" spans="1:10">
      <c r="A351" s="83" t="str">
        <f t="shared" si="5"/>
        <v xml:space="preserve"> </v>
      </c>
      <c r="C351" s="63" t="str">
        <f>IFERROR(LOOKUP(D351,SOCIO!B:B,SOCIO!A:A),"")</f>
        <v/>
      </c>
      <c r="F351" s="67" t="str">
        <f>IFERROR(LOOKUP(E351,CODIGOS!A:A,CODIGOS!B:B)," ")</f>
        <v xml:space="preserve"> </v>
      </c>
      <c r="H351" s="74" t="str">
        <f>IF(J351="SI",IFERROR(LOOKUP(E351,CODIGOS!A:A,CODIGOS!C:C)," "),IFERROR(LOOKUP(E351,CODIGOS!A:A,CODIGOS!D:D),""))</f>
        <v/>
      </c>
      <c r="J351" s="35" t="str">
        <f>IFERROR(LOOKUP(D351,SOCIO!B:B,SOCIO!C:C)," ")</f>
        <v xml:space="preserve"> </v>
      </c>
    </row>
    <row r="352" spans="1:10">
      <c r="A352" s="83" t="str">
        <f t="shared" si="5"/>
        <v xml:space="preserve"> </v>
      </c>
      <c r="C352" s="63" t="str">
        <f>IFERROR(LOOKUP(D352,SOCIO!B:B,SOCIO!A:A),"")</f>
        <v/>
      </c>
      <c r="F352" s="67" t="str">
        <f>IFERROR(LOOKUP(E352,CODIGOS!A:A,CODIGOS!B:B)," ")</f>
        <v xml:space="preserve"> </v>
      </c>
      <c r="H352" s="74" t="str">
        <f>IF(J352="SI",IFERROR(LOOKUP(E352,CODIGOS!A:A,CODIGOS!C:C)," "),IFERROR(LOOKUP(E352,CODIGOS!A:A,CODIGOS!D:D),""))</f>
        <v/>
      </c>
      <c r="J352" s="35" t="str">
        <f>IFERROR(LOOKUP(D352,SOCIO!B:B,SOCIO!C:C)," ")</f>
        <v xml:space="preserve"> </v>
      </c>
    </row>
    <row r="353" spans="1:10">
      <c r="A353" s="83" t="str">
        <f t="shared" si="5"/>
        <v xml:space="preserve"> </v>
      </c>
      <c r="C353" s="63" t="str">
        <f>IFERROR(LOOKUP(D353,SOCIO!B:B,SOCIO!A:A),"")</f>
        <v/>
      </c>
      <c r="F353" s="67" t="str">
        <f>IFERROR(LOOKUP(E353,CODIGOS!A:A,CODIGOS!B:B)," ")</f>
        <v xml:space="preserve"> </v>
      </c>
      <c r="H353" s="74" t="str">
        <f>IF(J353="SI",IFERROR(LOOKUP(E353,CODIGOS!A:A,CODIGOS!C:C)," "),IFERROR(LOOKUP(E353,CODIGOS!A:A,CODIGOS!D:D),""))</f>
        <v/>
      </c>
      <c r="J353" s="35" t="str">
        <f>IFERROR(LOOKUP(D353,SOCIO!B:B,SOCIO!C:C)," ")</f>
        <v xml:space="preserve"> </v>
      </c>
    </row>
    <row r="354" spans="1:10">
      <c r="A354" s="83" t="str">
        <f t="shared" si="5"/>
        <v xml:space="preserve"> </v>
      </c>
      <c r="C354" s="63" t="str">
        <f>IFERROR(LOOKUP(D354,SOCIO!B:B,SOCIO!A:A),"")</f>
        <v/>
      </c>
      <c r="F354" s="67" t="str">
        <f>IFERROR(LOOKUP(E354,CODIGOS!A:A,CODIGOS!B:B)," ")</f>
        <v xml:space="preserve"> </v>
      </c>
      <c r="H354" s="74" t="str">
        <f>IF(J354="SI",IFERROR(LOOKUP(E354,CODIGOS!A:A,CODIGOS!C:C)," "),IFERROR(LOOKUP(E354,CODIGOS!A:A,CODIGOS!D:D),""))</f>
        <v/>
      </c>
      <c r="J354" s="35" t="str">
        <f>IFERROR(LOOKUP(D354,SOCIO!B:B,SOCIO!C:C)," ")</f>
        <v xml:space="preserve"> </v>
      </c>
    </row>
    <row r="355" spans="1:10">
      <c r="A355" s="83" t="str">
        <f t="shared" si="5"/>
        <v xml:space="preserve"> </v>
      </c>
      <c r="C355" s="63" t="str">
        <f>IFERROR(LOOKUP(D355,SOCIO!B:B,SOCIO!A:A),"")</f>
        <v/>
      </c>
      <c r="F355" s="67" t="str">
        <f>IFERROR(LOOKUP(E355,CODIGOS!A:A,CODIGOS!B:B)," ")</f>
        <v xml:space="preserve"> </v>
      </c>
      <c r="H355" s="74" t="str">
        <f>IF(J355="SI",IFERROR(LOOKUP(E355,CODIGOS!A:A,CODIGOS!C:C)," "),IFERROR(LOOKUP(E355,CODIGOS!A:A,CODIGOS!D:D),""))</f>
        <v/>
      </c>
      <c r="J355" s="35" t="str">
        <f>IFERROR(LOOKUP(D355,SOCIO!B:B,SOCIO!C:C)," ")</f>
        <v xml:space="preserve"> </v>
      </c>
    </row>
    <row r="356" spans="1:10">
      <c r="A356" s="83" t="str">
        <f t="shared" si="5"/>
        <v xml:space="preserve"> </v>
      </c>
      <c r="C356" s="63" t="str">
        <f>IFERROR(LOOKUP(D356,SOCIO!B:B,SOCIO!A:A),"")</f>
        <v/>
      </c>
      <c r="F356" s="67" t="str">
        <f>IFERROR(LOOKUP(E356,CODIGOS!A:A,CODIGOS!B:B)," ")</f>
        <v xml:space="preserve"> </v>
      </c>
      <c r="H356" s="74" t="str">
        <f>IF(J356="SI",IFERROR(LOOKUP(E356,CODIGOS!A:A,CODIGOS!C:C)," "),IFERROR(LOOKUP(E356,CODIGOS!A:A,CODIGOS!D:D),""))</f>
        <v/>
      </c>
      <c r="J356" s="35" t="str">
        <f>IFERROR(LOOKUP(D356,SOCIO!B:B,SOCIO!C:C)," ")</f>
        <v xml:space="preserve"> </v>
      </c>
    </row>
    <row r="357" spans="1:10">
      <c r="A357" s="83" t="str">
        <f t="shared" si="5"/>
        <v xml:space="preserve"> </v>
      </c>
      <c r="C357" s="63" t="str">
        <f>IFERROR(LOOKUP(D357,SOCIO!B:B,SOCIO!A:A),"")</f>
        <v/>
      </c>
      <c r="F357" s="67" t="str">
        <f>IFERROR(LOOKUP(E357,CODIGOS!A:A,CODIGOS!B:B)," ")</f>
        <v xml:space="preserve"> </v>
      </c>
      <c r="H357" s="74" t="str">
        <f>IF(J357="SI",IFERROR(LOOKUP(E357,CODIGOS!A:A,CODIGOS!C:C)," "),IFERROR(LOOKUP(E357,CODIGOS!A:A,CODIGOS!D:D),""))</f>
        <v/>
      </c>
      <c r="J357" s="35" t="str">
        <f>IFERROR(LOOKUP(D357,SOCIO!B:B,SOCIO!C:C)," ")</f>
        <v xml:space="preserve"> </v>
      </c>
    </row>
    <row r="358" spans="1:10">
      <c r="A358" s="83" t="str">
        <f t="shared" si="5"/>
        <v xml:space="preserve"> </v>
      </c>
      <c r="C358" s="63" t="str">
        <f>IFERROR(LOOKUP(D358,SOCIO!B:B,SOCIO!A:A),"")</f>
        <v/>
      </c>
      <c r="F358" s="67" t="str">
        <f>IFERROR(LOOKUP(E358,CODIGOS!A:A,CODIGOS!B:B)," ")</f>
        <v xml:space="preserve"> </v>
      </c>
      <c r="H358" s="74" t="str">
        <f>IF(J358="SI",IFERROR(LOOKUP(E358,CODIGOS!A:A,CODIGOS!C:C)," "),IFERROR(LOOKUP(E358,CODIGOS!A:A,CODIGOS!D:D),""))</f>
        <v/>
      </c>
      <c r="J358" s="35" t="str">
        <f>IFERROR(LOOKUP(D358,SOCIO!B:B,SOCIO!C:C)," ")</f>
        <v xml:space="preserve"> </v>
      </c>
    </row>
    <row r="359" spans="1:10">
      <c r="A359" s="83" t="str">
        <f t="shared" si="5"/>
        <v xml:space="preserve"> </v>
      </c>
      <c r="C359" s="63" t="str">
        <f>IFERROR(LOOKUP(D359,SOCIO!B:B,SOCIO!A:A),"")</f>
        <v/>
      </c>
      <c r="F359" s="67" t="str">
        <f>IFERROR(LOOKUP(E359,CODIGOS!A:A,CODIGOS!B:B)," ")</f>
        <v xml:space="preserve"> </v>
      </c>
      <c r="H359" s="74" t="str">
        <f>IF(J359="SI",IFERROR(LOOKUP(E359,CODIGOS!A:A,CODIGOS!C:C)," "),IFERROR(LOOKUP(E359,CODIGOS!A:A,CODIGOS!D:D),""))</f>
        <v/>
      </c>
      <c r="J359" s="35" t="str">
        <f>IFERROR(LOOKUP(D359,SOCIO!B:B,SOCIO!C:C)," ")</f>
        <v xml:space="preserve"> </v>
      </c>
    </row>
    <row r="360" spans="1:10">
      <c r="A360" s="83" t="str">
        <f t="shared" si="5"/>
        <v xml:space="preserve"> </v>
      </c>
      <c r="C360" s="63" t="str">
        <f>IFERROR(LOOKUP(D360,SOCIO!B:B,SOCIO!A:A),"")</f>
        <v/>
      </c>
      <c r="F360" s="67" t="str">
        <f>IFERROR(LOOKUP(E360,CODIGOS!A:A,CODIGOS!B:B)," ")</f>
        <v xml:space="preserve"> </v>
      </c>
      <c r="H360" s="74" t="str">
        <f>IF(J360="SI",IFERROR(LOOKUP(E360,CODIGOS!A:A,CODIGOS!C:C)," "),IFERROR(LOOKUP(E360,CODIGOS!A:A,CODIGOS!D:D),""))</f>
        <v/>
      </c>
      <c r="J360" s="35" t="str">
        <f>IFERROR(LOOKUP(D360,SOCIO!B:B,SOCIO!C:C)," ")</f>
        <v xml:space="preserve"> </v>
      </c>
    </row>
    <row r="361" spans="1:10">
      <c r="A361" s="83" t="str">
        <f t="shared" si="5"/>
        <v xml:space="preserve"> </v>
      </c>
      <c r="C361" s="63" t="str">
        <f>IFERROR(LOOKUP(D361,SOCIO!B:B,SOCIO!A:A),"")</f>
        <v/>
      </c>
      <c r="F361" s="67" t="str">
        <f>IFERROR(LOOKUP(E361,CODIGOS!A:A,CODIGOS!B:B)," ")</f>
        <v xml:space="preserve"> </v>
      </c>
      <c r="H361" s="74" t="str">
        <f>IF(J361="SI",IFERROR(LOOKUP(E361,CODIGOS!A:A,CODIGOS!C:C)," "),IFERROR(LOOKUP(E361,CODIGOS!A:A,CODIGOS!D:D),""))</f>
        <v/>
      </c>
      <c r="J361" s="35" t="str">
        <f>IFERROR(LOOKUP(D361,SOCIO!B:B,SOCIO!C:C)," ")</f>
        <v xml:space="preserve"> </v>
      </c>
    </row>
    <row r="362" spans="1:10">
      <c r="A362" s="83" t="str">
        <f t="shared" si="5"/>
        <v xml:space="preserve"> </v>
      </c>
      <c r="C362" s="63" t="str">
        <f>IFERROR(LOOKUP(D362,SOCIO!B:B,SOCIO!A:A),"")</f>
        <v/>
      </c>
      <c r="F362" s="67" t="str">
        <f>IFERROR(LOOKUP(E362,CODIGOS!A:A,CODIGOS!B:B)," ")</f>
        <v xml:space="preserve"> </v>
      </c>
      <c r="H362" s="74" t="str">
        <f>IF(J362="SI",IFERROR(LOOKUP(E362,CODIGOS!A:A,CODIGOS!C:C)," "),IFERROR(LOOKUP(E362,CODIGOS!A:A,CODIGOS!D:D),""))</f>
        <v/>
      </c>
      <c r="J362" s="35" t="str">
        <f>IFERROR(LOOKUP(D362,SOCIO!B:B,SOCIO!C:C)," ")</f>
        <v xml:space="preserve"> </v>
      </c>
    </row>
    <row r="363" spans="1:10">
      <c r="A363" s="83" t="str">
        <f t="shared" si="5"/>
        <v xml:space="preserve"> </v>
      </c>
      <c r="C363" s="63" t="str">
        <f>IFERROR(LOOKUP(D363,SOCIO!B:B,SOCIO!A:A),"")</f>
        <v/>
      </c>
      <c r="F363" s="67" t="str">
        <f>IFERROR(LOOKUP(E363,CODIGOS!A:A,CODIGOS!B:B)," ")</f>
        <v xml:space="preserve"> </v>
      </c>
      <c r="H363" s="74" t="str">
        <f>IF(J363="SI",IFERROR(LOOKUP(E363,CODIGOS!A:A,CODIGOS!C:C)," "),IFERROR(LOOKUP(E363,CODIGOS!A:A,CODIGOS!D:D),""))</f>
        <v/>
      </c>
      <c r="J363" s="35" t="str">
        <f>IFERROR(LOOKUP(D363,SOCIO!B:B,SOCIO!C:C)," ")</f>
        <v xml:space="preserve"> </v>
      </c>
    </row>
    <row r="364" spans="1:10">
      <c r="A364" s="83" t="str">
        <f t="shared" si="5"/>
        <v xml:space="preserve"> </v>
      </c>
      <c r="C364" s="63" t="str">
        <f>IFERROR(LOOKUP(D364,SOCIO!B:B,SOCIO!A:A),"")</f>
        <v/>
      </c>
      <c r="F364" s="67" t="str">
        <f>IFERROR(LOOKUP(E364,CODIGOS!A:A,CODIGOS!B:B)," ")</f>
        <v xml:space="preserve"> </v>
      </c>
      <c r="H364" s="74" t="str">
        <f>IF(J364="SI",IFERROR(LOOKUP(E364,CODIGOS!A:A,CODIGOS!C:C)," "),IFERROR(LOOKUP(E364,CODIGOS!A:A,CODIGOS!D:D),""))</f>
        <v/>
      </c>
      <c r="J364" s="35" t="str">
        <f>IFERROR(LOOKUP(D364,SOCIO!B:B,SOCIO!C:C)," ")</f>
        <v xml:space="preserve"> </v>
      </c>
    </row>
    <row r="365" spans="1:10">
      <c r="A365" s="83" t="str">
        <f t="shared" si="5"/>
        <v xml:space="preserve"> </v>
      </c>
      <c r="C365" s="63" t="str">
        <f>IFERROR(LOOKUP(D365,SOCIO!B:B,SOCIO!A:A),"")</f>
        <v/>
      </c>
      <c r="F365" s="67" t="str">
        <f>IFERROR(LOOKUP(E365,CODIGOS!A:A,CODIGOS!B:B)," ")</f>
        <v xml:space="preserve"> </v>
      </c>
      <c r="H365" s="74" t="str">
        <f>IF(J365="SI",IFERROR(LOOKUP(E365,CODIGOS!A:A,CODIGOS!C:C)," "),IFERROR(LOOKUP(E365,CODIGOS!A:A,CODIGOS!D:D),""))</f>
        <v/>
      </c>
      <c r="J365" s="35" t="str">
        <f>IFERROR(LOOKUP(D365,SOCIO!B:B,SOCIO!C:C)," ")</f>
        <v xml:space="preserve"> </v>
      </c>
    </row>
    <row r="366" spans="1:10">
      <c r="A366" s="83" t="str">
        <f t="shared" si="5"/>
        <v xml:space="preserve"> </v>
      </c>
      <c r="C366" s="63" t="str">
        <f>IFERROR(LOOKUP(D366,SOCIO!B:B,SOCIO!A:A),"")</f>
        <v/>
      </c>
      <c r="F366" s="67" t="str">
        <f>IFERROR(LOOKUP(E366,CODIGOS!A:A,CODIGOS!B:B)," ")</f>
        <v xml:space="preserve"> </v>
      </c>
      <c r="H366" s="74" t="str">
        <f>IF(J366="SI",IFERROR(LOOKUP(E366,CODIGOS!A:A,CODIGOS!C:C)," "),IFERROR(LOOKUP(E366,CODIGOS!A:A,CODIGOS!D:D),""))</f>
        <v/>
      </c>
      <c r="J366" s="35" t="str">
        <f>IFERROR(LOOKUP(D366,SOCIO!B:B,SOCIO!C:C)," ")</f>
        <v xml:space="preserve"> </v>
      </c>
    </row>
    <row r="367" spans="1:10">
      <c r="A367" s="83" t="str">
        <f t="shared" si="5"/>
        <v xml:space="preserve"> </v>
      </c>
      <c r="C367" s="63" t="str">
        <f>IFERROR(LOOKUP(D367,SOCIO!B:B,SOCIO!A:A),"")</f>
        <v/>
      </c>
      <c r="F367" s="67" t="str">
        <f>IFERROR(LOOKUP(E367,CODIGOS!A:A,CODIGOS!B:B)," ")</f>
        <v xml:space="preserve"> </v>
      </c>
      <c r="H367" s="74" t="str">
        <f>IF(J367="SI",IFERROR(LOOKUP(E367,CODIGOS!A:A,CODIGOS!C:C)," "),IFERROR(LOOKUP(E367,CODIGOS!A:A,CODIGOS!D:D),""))</f>
        <v/>
      </c>
      <c r="J367" s="35" t="str">
        <f>IFERROR(LOOKUP(D367,SOCIO!B:B,SOCIO!C:C)," ")</f>
        <v xml:space="preserve"> </v>
      </c>
    </row>
    <row r="368" spans="1:10">
      <c r="A368" s="83" t="str">
        <f t="shared" si="5"/>
        <v xml:space="preserve"> </v>
      </c>
      <c r="C368" s="63" t="str">
        <f>IFERROR(LOOKUP(D368,SOCIO!B:B,SOCIO!A:A),"")</f>
        <v/>
      </c>
      <c r="F368" s="67" t="str">
        <f>IFERROR(LOOKUP(E368,CODIGOS!A:A,CODIGOS!B:B)," ")</f>
        <v xml:space="preserve"> </v>
      </c>
      <c r="H368" s="74" t="str">
        <f>IF(J368="SI",IFERROR(LOOKUP(E368,CODIGOS!A:A,CODIGOS!C:C)," "),IFERROR(LOOKUP(E368,CODIGOS!A:A,CODIGOS!D:D),""))</f>
        <v/>
      </c>
      <c r="J368" s="35" t="str">
        <f>IFERROR(LOOKUP(D368,SOCIO!B:B,SOCIO!C:C)," ")</f>
        <v xml:space="preserve"> </v>
      </c>
    </row>
    <row r="369" spans="1:10">
      <c r="A369" s="83" t="str">
        <f t="shared" si="5"/>
        <v xml:space="preserve"> </v>
      </c>
      <c r="C369" s="63" t="str">
        <f>IFERROR(LOOKUP(D369,SOCIO!B:B,SOCIO!A:A),"")</f>
        <v/>
      </c>
      <c r="F369" s="67" t="str">
        <f>IFERROR(LOOKUP(E369,CODIGOS!A:A,CODIGOS!B:B)," ")</f>
        <v xml:space="preserve"> </v>
      </c>
      <c r="H369" s="74" t="str">
        <f>IF(J369="SI",IFERROR(LOOKUP(E369,CODIGOS!A:A,CODIGOS!C:C)," "),IFERROR(LOOKUP(E369,CODIGOS!A:A,CODIGOS!D:D),""))</f>
        <v/>
      </c>
      <c r="J369" s="35" t="str">
        <f>IFERROR(LOOKUP(D369,SOCIO!B:B,SOCIO!C:C)," ")</f>
        <v xml:space="preserve"> </v>
      </c>
    </row>
    <row r="370" spans="1:10">
      <c r="A370" s="83" t="str">
        <f t="shared" si="5"/>
        <v xml:space="preserve"> </v>
      </c>
      <c r="C370" s="63" t="str">
        <f>IFERROR(LOOKUP(D370,SOCIO!B:B,SOCIO!A:A),"")</f>
        <v/>
      </c>
      <c r="F370" s="67" t="str">
        <f>IFERROR(LOOKUP(E370,CODIGOS!A:A,CODIGOS!B:B)," ")</f>
        <v xml:space="preserve"> </v>
      </c>
      <c r="H370" s="74" t="str">
        <f>IF(J370="SI",IFERROR(LOOKUP(E370,CODIGOS!A:A,CODIGOS!C:C)," "),IFERROR(LOOKUP(E370,CODIGOS!A:A,CODIGOS!D:D),""))</f>
        <v/>
      </c>
      <c r="J370" s="35" t="str">
        <f>IFERROR(LOOKUP(D370,SOCIO!B:B,SOCIO!C:C)," ")</f>
        <v xml:space="preserve"> </v>
      </c>
    </row>
    <row r="371" spans="1:10">
      <c r="A371" s="83" t="str">
        <f t="shared" si="5"/>
        <v xml:space="preserve"> </v>
      </c>
      <c r="C371" s="63" t="str">
        <f>IFERROR(LOOKUP(D371,SOCIO!B:B,SOCIO!A:A),"")</f>
        <v/>
      </c>
      <c r="F371" s="67" t="str">
        <f>IFERROR(LOOKUP(E371,CODIGOS!A:A,CODIGOS!B:B)," ")</f>
        <v xml:space="preserve"> </v>
      </c>
      <c r="H371" s="74" t="str">
        <f>IF(J371="SI",IFERROR(LOOKUP(E371,CODIGOS!A:A,CODIGOS!C:C)," "),IFERROR(LOOKUP(E371,CODIGOS!A:A,CODIGOS!D:D),""))</f>
        <v/>
      </c>
      <c r="J371" s="35" t="str">
        <f>IFERROR(LOOKUP(D371,SOCIO!B:B,SOCIO!C:C)," ")</f>
        <v xml:space="preserve"> </v>
      </c>
    </row>
    <row r="372" spans="1:10">
      <c r="A372" s="83" t="str">
        <f t="shared" si="5"/>
        <v xml:space="preserve"> </v>
      </c>
      <c r="C372" s="63" t="str">
        <f>IFERROR(LOOKUP(D372,SOCIO!B:B,SOCIO!A:A),"")</f>
        <v/>
      </c>
      <c r="F372" s="67" t="str">
        <f>IFERROR(LOOKUP(E372,CODIGOS!A:A,CODIGOS!B:B)," ")</f>
        <v xml:space="preserve"> </v>
      </c>
      <c r="H372" s="74" t="str">
        <f>IF(J372="SI",IFERROR(LOOKUP(E372,CODIGOS!A:A,CODIGOS!C:C)," "),IFERROR(LOOKUP(E372,CODIGOS!A:A,CODIGOS!D:D),""))</f>
        <v/>
      </c>
      <c r="J372" s="35" t="str">
        <f>IFERROR(LOOKUP(D372,SOCIO!B:B,SOCIO!C:C)," ")</f>
        <v xml:space="preserve"> </v>
      </c>
    </row>
    <row r="373" spans="1:10">
      <c r="A373" s="83" t="str">
        <f t="shared" si="5"/>
        <v xml:space="preserve"> </v>
      </c>
      <c r="C373" s="63" t="str">
        <f>IFERROR(LOOKUP(D373,SOCIO!B:B,SOCIO!A:A),"")</f>
        <v/>
      </c>
      <c r="F373" s="67" t="str">
        <f>IFERROR(LOOKUP(E373,CODIGOS!A:A,CODIGOS!B:B)," ")</f>
        <v xml:space="preserve"> </v>
      </c>
      <c r="H373" s="74" t="str">
        <f>IF(J373="SI",IFERROR(LOOKUP(E373,CODIGOS!A:A,CODIGOS!C:C)," "),IFERROR(LOOKUP(E373,CODIGOS!A:A,CODIGOS!D:D),""))</f>
        <v/>
      </c>
      <c r="J373" s="35" t="str">
        <f>IFERROR(LOOKUP(D373,SOCIO!B:B,SOCIO!C:C)," ")</f>
        <v xml:space="preserve"> </v>
      </c>
    </row>
    <row r="374" spans="1:10">
      <c r="A374" s="83" t="str">
        <f t="shared" si="5"/>
        <v xml:space="preserve"> </v>
      </c>
      <c r="C374" s="63" t="str">
        <f>IFERROR(LOOKUP(D374,SOCIO!B:B,SOCIO!A:A),"")</f>
        <v/>
      </c>
      <c r="F374" s="67" t="str">
        <f>IFERROR(LOOKUP(E374,CODIGOS!A:A,CODIGOS!B:B)," ")</f>
        <v xml:space="preserve"> </v>
      </c>
      <c r="H374" s="74" t="str">
        <f>IF(J374="SI",IFERROR(LOOKUP(E374,CODIGOS!A:A,CODIGOS!C:C)," "),IFERROR(LOOKUP(E374,CODIGOS!A:A,CODIGOS!D:D),""))</f>
        <v/>
      </c>
      <c r="J374" s="35" t="str">
        <f>IFERROR(LOOKUP(D374,SOCIO!B:B,SOCIO!C:C)," ")</f>
        <v xml:space="preserve"> </v>
      </c>
    </row>
    <row r="375" spans="1:10">
      <c r="A375" s="83" t="str">
        <f t="shared" si="5"/>
        <v xml:space="preserve"> </v>
      </c>
      <c r="C375" s="63" t="str">
        <f>IFERROR(LOOKUP(D375,SOCIO!B:B,SOCIO!A:A),"")</f>
        <v/>
      </c>
      <c r="F375" s="67" t="str">
        <f>IFERROR(LOOKUP(E375,CODIGOS!A:A,CODIGOS!B:B)," ")</f>
        <v xml:space="preserve"> </v>
      </c>
      <c r="H375" s="74" t="str">
        <f>IF(J375="SI",IFERROR(LOOKUP(E375,CODIGOS!A:A,CODIGOS!C:C)," "),IFERROR(LOOKUP(E375,CODIGOS!A:A,CODIGOS!D:D),""))</f>
        <v/>
      </c>
      <c r="J375" s="35" t="str">
        <f>IFERROR(LOOKUP(D375,SOCIO!B:B,SOCIO!C:C)," ")</f>
        <v xml:space="preserve"> </v>
      </c>
    </row>
    <row r="376" spans="1:10">
      <c r="A376" s="83" t="str">
        <f t="shared" si="5"/>
        <v xml:space="preserve"> </v>
      </c>
      <c r="C376" s="63" t="str">
        <f>IFERROR(LOOKUP(D376,SOCIO!B:B,SOCIO!A:A),"")</f>
        <v/>
      </c>
      <c r="F376" s="67" t="str">
        <f>IFERROR(LOOKUP(E376,CODIGOS!A:A,CODIGOS!B:B)," ")</f>
        <v xml:space="preserve"> </v>
      </c>
      <c r="H376" s="74" t="str">
        <f>IF(J376="SI",IFERROR(LOOKUP(E376,CODIGOS!A:A,CODIGOS!C:C)," "),IFERROR(LOOKUP(E376,CODIGOS!A:A,CODIGOS!D:D),""))</f>
        <v/>
      </c>
      <c r="J376" s="35" t="str">
        <f>IFERROR(LOOKUP(D376,SOCIO!B:B,SOCIO!C:C)," ")</f>
        <v xml:space="preserve"> </v>
      </c>
    </row>
    <row r="377" spans="1:10">
      <c r="A377" s="83" t="str">
        <f t="shared" si="5"/>
        <v xml:space="preserve"> </v>
      </c>
      <c r="C377" s="63" t="str">
        <f>IFERROR(LOOKUP(D377,SOCIO!B:B,SOCIO!A:A),"")</f>
        <v/>
      </c>
      <c r="F377" s="67" t="str">
        <f>IFERROR(LOOKUP(E377,CODIGOS!A:A,CODIGOS!B:B)," ")</f>
        <v xml:space="preserve"> </v>
      </c>
      <c r="H377" s="74" t="str">
        <f>IF(J377="SI",IFERROR(LOOKUP(E377,CODIGOS!A:A,CODIGOS!C:C)," "),IFERROR(LOOKUP(E377,CODIGOS!A:A,CODIGOS!D:D),""))</f>
        <v/>
      </c>
      <c r="J377" s="35" t="str">
        <f>IFERROR(LOOKUP(D377,SOCIO!B:B,SOCIO!C:C)," ")</f>
        <v xml:space="preserve"> </v>
      </c>
    </row>
    <row r="378" spans="1:10">
      <c r="A378" s="83" t="str">
        <f t="shared" si="5"/>
        <v xml:space="preserve"> </v>
      </c>
      <c r="C378" s="63" t="str">
        <f>IFERROR(LOOKUP(D378,SOCIO!B:B,SOCIO!A:A),"")</f>
        <v/>
      </c>
      <c r="F378" s="67" t="str">
        <f>IFERROR(LOOKUP(E378,CODIGOS!A:A,CODIGOS!B:B)," ")</f>
        <v xml:space="preserve"> </v>
      </c>
      <c r="H378" s="74" t="str">
        <f>IF(J378="SI",IFERROR(LOOKUP(E378,CODIGOS!A:A,CODIGOS!C:C)," "),IFERROR(LOOKUP(E378,CODIGOS!A:A,CODIGOS!D:D),""))</f>
        <v/>
      </c>
      <c r="J378" s="35" t="str">
        <f>IFERROR(LOOKUP(D378,SOCIO!B:B,SOCIO!C:C)," ")</f>
        <v xml:space="preserve"> </v>
      </c>
    </row>
    <row r="379" spans="1:10">
      <c r="A379" s="83" t="str">
        <f t="shared" si="5"/>
        <v xml:space="preserve"> </v>
      </c>
      <c r="C379" s="63" t="str">
        <f>IFERROR(LOOKUP(D379,SOCIO!B:B,SOCIO!A:A),"")</f>
        <v/>
      </c>
      <c r="F379" s="67" t="str">
        <f>IFERROR(LOOKUP(E379,CODIGOS!A:A,CODIGOS!B:B)," ")</f>
        <v xml:space="preserve"> </v>
      </c>
      <c r="H379" s="74" t="str">
        <f>IF(J379="SI",IFERROR(LOOKUP(E379,CODIGOS!A:A,CODIGOS!C:C)," "),IFERROR(LOOKUP(E379,CODIGOS!A:A,CODIGOS!D:D),""))</f>
        <v/>
      </c>
      <c r="J379" s="35" t="str">
        <f>IFERROR(LOOKUP(D379,SOCIO!B:B,SOCIO!C:C)," ")</f>
        <v xml:space="preserve"> </v>
      </c>
    </row>
    <row r="380" spans="1:10">
      <c r="A380" s="83" t="str">
        <f t="shared" si="5"/>
        <v xml:space="preserve"> </v>
      </c>
      <c r="C380" s="63" t="str">
        <f>IFERROR(LOOKUP(D380,SOCIO!B:B,SOCIO!A:A),"")</f>
        <v/>
      </c>
      <c r="F380" s="67" t="str">
        <f>IFERROR(LOOKUP(E380,CODIGOS!A:A,CODIGOS!B:B)," ")</f>
        <v xml:space="preserve"> </v>
      </c>
      <c r="H380" s="74" t="str">
        <f>IF(J380="SI",IFERROR(LOOKUP(E380,CODIGOS!A:A,CODIGOS!C:C)," "),IFERROR(LOOKUP(E380,CODIGOS!A:A,CODIGOS!D:D),""))</f>
        <v/>
      </c>
      <c r="J380" s="35" t="str">
        <f>IFERROR(LOOKUP(D380,SOCIO!B:B,SOCIO!C:C)," ")</f>
        <v xml:space="preserve"> </v>
      </c>
    </row>
    <row r="381" spans="1:10">
      <c r="A381" s="83" t="str">
        <f t="shared" si="5"/>
        <v xml:space="preserve"> </v>
      </c>
      <c r="C381" s="63" t="str">
        <f>IFERROR(LOOKUP(D381,SOCIO!B:B,SOCIO!A:A),"")</f>
        <v/>
      </c>
      <c r="F381" s="67" t="str">
        <f>IFERROR(LOOKUP(E381,CODIGOS!A:A,CODIGOS!B:B)," ")</f>
        <v xml:space="preserve"> </v>
      </c>
      <c r="H381" s="74" t="str">
        <f>IF(J381="SI",IFERROR(LOOKUP(E381,CODIGOS!A:A,CODIGOS!C:C)," "),IFERROR(LOOKUP(E381,CODIGOS!A:A,CODIGOS!D:D),""))</f>
        <v/>
      </c>
      <c r="J381" s="35" t="str">
        <f>IFERROR(LOOKUP(D381,SOCIO!B:B,SOCIO!C:C)," ")</f>
        <v xml:space="preserve"> </v>
      </c>
    </row>
    <row r="382" spans="1:10">
      <c r="A382" s="83" t="str">
        <f t="shared" si="5"/>
        <v xml:space="preserve"> </v>
      </c>
      <c r="C382" s="63" t="str">
        <f>IFERROR(LOOKUP(D382,SOCIO!B:B,SOCIO!A:A),"")</f>
        <v/>
      </c>
      <c r="F382" s="67" t="str">
        <f>IFERROR(LOOKUP(E382,CODIGOS!A:A,CODIGOS!B:B)," ")</f>
        <v xml:space="preserve"> </v>
      </c>
      <c r="H382" s="74" t="str">
        <f>IF(J382="SI",IFERROR(LOOKUP(E382,CODIGOS!A:A,CODIGOS!C:C)," "),IFERROR(LOOKUP(E382,CODIGOS!A:A,CODIGOS!D:D),""))</f>
        <v/>
      </c>
      <c r="J382" s="35" t="str">
        <f>IFERROR(LOOKUP(D382,SOCIO!B:B,SOCIO!C:C)," ")</f>
        <v xml:space="preserve"> </v>
      </c>
    </row>
    <row r="383" spans="1:10">
      <c r="A383" s="83" t="str">
        <f t="shared" si="5"/>
        <v xml:space="preserve"> </v>
      </c>
      <c r="C383" s="63" t="str">
        <f>IFERROR(LOOKUP(D383,SOCIO!B:B,SOCIO!A:A),"")</f>
        <v/>
      </c>
      <c r="F383" s="67" t="str">
        <f>IFERROR(LOOKUP(E383,CODIGOS!A:A,CODIGOS!B:B)," ")</f>
        <v xml:space="preserve"> </v>
      </c>
      <c r="H383" s="74" t="str">
        <f>IF(J383="SI",IFERROR(LOOKUP(E383,CODIGOS!A:A,CODIGOS!C:C)," "),IFERROR(LOOKUP(E383,CODIGOS!A:A,CODIGOS!D:D),""))</f>
        <v/>
      </c>
      <c r="J383" s="35" t="str">
        <f>IFERROR(LOOKUP(D383,SOCIO!B:B,SOCIO!C:C)," ")</f>
        <v xml:space="preserve"> </v>
      </c>
    </row>
    <row r="384" spans="1:10">
      <c r="A384" s="83" t="str">
        <f t="shared" si="5"/>
        <v xml:space="preserve"> </v>
      </c>
      <c r="C384" s="63" t="str">
        <f>IFERROR(LOOKUP(D384,SOCIO!B:B,SOCIO!A:A),"")</f>
        <v/>
      </c>
      <c r="F384" s="67" t="str">
        <f>IFERROR(LOOKUP(E384,CODIGOS!A:A,CODIGOS!B:B)," ")</f>
        <v xml:space="preserve"> </v>
      </c>
      <c r="H384" s="74" t="str">
        <f>IF(J384="SI",IFERROR(LOOKUP(E384,CODIGOS!A:A,CODIGOS!C:C)," "),IFERROR(LOOKUP(E384,CODIGOS!A:A,CODIGOS!D:D),""))</f>
        <v/>
      </c>
      <c r="J384" s="35" t="str">
        <f>IFERROR(LOOKUP(D384,SOCIO!B:B,SOCIO!C:C)," ")</f>
        <v xml:space="preserve"> </v>
      </c>
    </row>
    <row r="385" spans="1:10">
      <c r="A385" s="83" t="str">
        <f t="shared" si="5"/>
        <v xml:space="preserve"> </v>
      </c>
      <c r="C385" s="63" t="str">
        <f>IFERROR(LOOKUP(D385,SOCIO!B:B,SOCIO!A:A),"")</f>
        <v/>
      </c>
      <c r="F385" s="67" t="str">
        <f>IFERROR(LOOKUP(E385,CODIGOS!A:A,CODIGOS!B:B)," ")</f>
        <v xml:space="preserve"> </v>
      </c>
      <c r="H385" s="74" t="str">
        <f>IF(J385="SI",IFERROR(LOOKUP(E385,CODIGOS!A:A,CODIGOS!C:C)," "),IFERROR(LOOKUP(E385,CODIGOS!A:A,CODIGOS!D:D),""))</f>
        <v/>
      </c>
      <c r="J385" s="35" t="str">
        <f>IFERROR(LOOKUP(D385,SOCIO!B:B,SOCIO!C:C)," ")</f>
        <v xml:space="preserve"> </v>
      </c>
    </row>
    <row r="386" spans="1:10">
      <c r="A386" s="83" t="str">
        <f t="shared" ref="A386:A449" si="6">IF(B386&lt;&gt;0,A385+1," ")</f>
        <v xml:space="preserve"> </v>
      </c>
      <c r="C386" s="63" t="str">
        <f>IFERROR(LOOKUP(D386,SOCIO!B:B,SOCIO!A:A),"")</f>
        <v/>
      </c>
      <c r="F386" s="67" t="str">
        <f>IFERROR(LOOKUP(E386,CODIGOS!A:A,CODIGOS!B:B)," ")</f>
        <v xml:space="preserve"> </v>
      </c>
      <c r="H386" s="74" t="str">
        <f>IF(J386="SI",IFERROR(LOOKUP(E386,CODIGOS!A:A,CODIGOS!C:C)," "),IFERROR(LOOKUP(E386,CODIGOS!A:A,CODIGOS!D:D),""))</f>
        <v/>
      </c>
      <c r="J386" s="35" t="str">
        <f>IFERROR(LOOKUP(D386,SOCIO!B:B,SOCIO!C:C)," ")</f>
        <v xml:space="preserve"> </v>
      </c>
    </row>
    <row r="387" spans="1:10">
      <c r="A387" s="83" t="str">
        <f t="shared" si="6"/>
        <v xml:space="preserve"> </v>
      </c>
      <c r="C387" s="63" t="str">
        <f>IFERROR(LOOKUP(D387,SOCIO!B:B,SOCIO!A:A),"")</f>
        <v/>
      </c>
      <c r="F387" s="67" t="str">
        <f>IFERROR(LOOKUP(E387,CODIGOS!A:A,CODIGOS!B:B)," ")</f>
        <v xml:space="preserve"> </v>
      </c>
      <c r="H387" s="74" t="str">
        <f>IF(J387="SI",IFERROR(LOOKUP(E387,CODIGOS!A:A,CODIGOS!C:C)," "),IFERROR(LOOKUP(E387,CODIGOS!A:A,CODIGOS!D:D),""))</f>
        <v/>
      </c>
      <c r="J387" s="35" t="str">
        <f>IFERROR(LOOKUP(D387,SOCIO!B:B,SOCIO!C:C)," ")</f>
        <v xml:space="preserve"> </v>
      </c>
    </row>
    <row r="388" spans="1:10">
      <c r="A388" s="83" t="str">
        <f t="shared" si="6"/>
        <v xml:space="preserve"> </v>
      </c>
      <c r="C388" s="63" t="str">
        <f>IFERROR(LOOKUP(D388,SOCIO!B:B,SOCIO!A:A),"")</f>
        <v/>
      </c>
      <c r="F388" s="67" t="str">
        <f>IFERROR(LOOKUP(E388,CODIGOS!A:A,CODIGOS!B:B)," ")</f>
        <v xml:space="preserve"> </v>
      </c>
      <c r="H388" s="74" t="str">
        <f>IF(J388="SI",IFERROR(LOOKUP(E388,CODIGOS!A:A,CODIGOS!C:C)," "),IFERROR(LOOKUP(E388,CODIGOS!A:A,CODIGOS!D:D),""))</f>
        <v/>
      </c>
      <c r="J388" s="35" t="str">
        <f>IFERROR(LOOKUP(D388,SOCIO!B:B,SOCIO!C:C)," ")</f>
        <v xml:space="preserve"> </v>
      </c>
    </row>
    <row r="389" spans="1:10">
      <c r="A389" s="83" t="str">
        <f t="shared" si="6"/>
        <v xml:space="preserve"> </v>
      </c>
      <c r="C389" s="63" t="str">
        <f>IFERROR(LOOKUP(D389,SOCIO!B:B,SOCIO!A:A),"")</f>
        <v/>
      </c>
      <c r="F389" s="67" t="str">
        <f>IFERROR(LOOKUP(E389,CODIGOS!A:A,CODIGOS!B:B)," ")</f>
        <v xml:space="preserve"> </v>
      </c>
      <c r="H389" s="74" t="str">
        <f>IF(J389="SI",IFERROR(LOOKUP(E389,CODIGOS!A:A,CODIGOS!C:C)," "),IFERROR(LOOKUP(E389,CODIGOS!A:A,CODIGOS!D:D),""))</f>
        <v/>
      </c>
      <c r="J389" s="35" t="str">
        <f>IFERROR(LOOKUP(D389,SOCIO!B:B,SOCIO!C:C)," ")</f>
        <v xml:space="preserve"> </v>
      </c>
    </row>
    <row r="390" spans="1:10">
      <c r="A390" s="83" t="str">
        <f t="shared" si="6"/>
        <v xml:space="preserve"> </v>
      </c>
      <c r="C390" s="63" t="str">
        <f>IFERROR(LOOKUP(D390,SOCIO!B:B,SOCIO!A:A),"")</f>
        <v/>
      </c>
      <c r="F390" s="67" t="str">
        <f>IFERROR(LOOKUP(E390,CODIGOS!A:A,CODIGOS!B:B)," ")</f>
        <v xml:space="preserve"> </v>
      </c>
      <c r="H390" s="74" t="str">
        <f>IF(J390="SI",IFERROR(LOOKUP(E390,CODIGOS!A:A,CODIGOS!C:C)," "),IFERROR(LOOKUP(E390,CODIGOS!A:A,CODIGOS!D:D),""))</f>
        <v/>
      </c>
      <c r="J390" s="35" t="str">
        <f>IFERROR(LOOKUP(D390,SOCIO!B:B,SOCIO!C:C)," ")</f>
        <v xml:space="preserve"> </v>
      </c>
    </row>
    <row r="391" spans="1:10">
      <c r="A391" s="83" t="str">
        <f t="shared" si="6"/>
        <v xml:space="preserve"> </v>
      </c>
      <c r="C391" s="63" t="str">
        <f>IFERROR(LOOKUP(D391,SOCIO!B:B,SOCIO!A:A),"")</f>
        <v/>
      </c>
      <c r="F391" s="67" t="str">
        <f>IFERROR(LOOKUP(E391,CODIGOS!A:A,CODIGOS!B:B)," ")</f>
        <v xml:space="preserve"> </v>
      </c>
      <c r="H391" s="74" t="str">
        <f>IF(J391="SI",IFERROR(LOOKUP(E391,CODIGOS!A:A,CODIGOS!C:C)," "),IFERROR(LOOKUP(E391,CODIGOS!A:A,CODIGOS!D:D),""))</f>
        <v/>
      </c>
      <c r="J391" s="35" t="str">
        <f>IFERROR(LOOKUP(D391,SOCIO!B:B,SOCIO!C:C)," ")</f>
        <v xml:space="preserve"> </v>
      </c>
    </row>
    <row r="392" spans="1:10">
      <c r="A392" s="83" t="str">
        <f t="shared" si="6"/>
        <v xml:space="preserve"> </v>
      </c>
      <c r="C392" s="63" t="str">
        <f>IFERROR(LOOKUP(D392,SOCIO!B:B,SOCIO!A:A),"")</f>
        <v/>
      </c>
      <c r="F392" s="67" t="str">
        <f>IFERROR(LOOKUP(E392,CODIGOS!A:A,CODIGOS!B:B)," ")</f>
        <v xml:space="preserve"> </v>
      </c>
      <c r="H392" s="74" t="str">
        <f>IF(J392="SI",IFERROR(LOOKUP(E392,CODIGOS!A:A,CODIGOS!C:C)," "),IFERROR(LOOKUP(E392,CODIGOS!A:A,CODIGOS!D:D),""))</f>
        <v/>
      </c>
      <c r="J392" s="35" t="str">
        <f>IFERROR(LOOKUP(D392,SOCIO!B:B,SOCIO!C:C)," ")</f>
        <v xml:space="preserve"> </v>
      </c>
    </row>
    <row r="393" spans="1:10">
      <c r="A393" s="83" t="str">
        <f t="shared" si="6"/>
        <v xml:space="preserve"> </v>
      </c>
      <c r="C393" s="63" t="str">
        <f>IFERROR(LOOKUP(D393,SOCIO!B:B,SOCIO!A:A),"")</f>
        <v/>
      </c>
      <c r="F393" s="67" t="str">
        <f>IFERROR(LOOKUP(E393,CODIGOS!A:A,CODIGOS!B:B)," ")</f>
        <v xml:space="preserve"> </v>
      </c>
      <c r="H393" s="74" t="str">
        <f>IF(J393="SI",IFERROR(LOOKUP(E393,CODIGOS!A:A,CODIGOS!C:C)," "),IFERROR(LOOKUP(E393,CODIGOS!A:A,CODIGOS!D:D),""))</f>
        <v/>
      </c>
      <c r="J393" s="35" t="str">
        <f>IFERROR(LOOKUP(D393,SOCIO!B:B,SOCIO!C:C)," ")</f>
        <v xml:space="preserve"> </v>
      </c>
    </row>
    <row r="394" spans="1:10">
      <c r="A394" s="83" t="str">
        <f t="shared" si="6"/>
        <v xml:space="preserve"> </v>
      </c>
      <c r="C394" s="63" t="str">
        <f>IFERROR(LOOKUP(D394,SOCIO!B:B,SOCIO!A:A),"")</f>
        <v/>
      </c>
      <c r="F394" s="67" t="str">
        <f>IFERROR(LOOKUP(E394,CODIGOS!A:A,CODIGOS!B:B)," ")</f>
        <v xml:space="preserve"> </v>
      </c>
      <c r="H394" s="74" t="str">
        <f>IF(J394="SI",IFERROR(LOOKUP(E394,CODIGOS!A:A,CODIGOS!C:C)," "),IFERROR(LOOKUP(E394,CODIGOS!A:A,CODIGOS!D:D),""))</f>
        <v/>
      </c>
      <c r="J394" s="35" t="str">
        <f>IFERROR(LOOKUP(D394,SOCIO!B:B,SOCIO!C:C)," ")</f>
        <v xml:space="preserve"> </v>
      </c>
    </row>
    <row r="395" spans="1:10">
      <c r="A395" s="83" t="str">
        <f t="shared" si="6"/>
        <v xml:space="preserve"> </v>
      </c>
      <c r="C395" s="63" t="str">
        <f>IFERROR(LOOKUP(D395,SOCIO!B:B,SOCIO!A:A),"")</f>
        <v/>
      </c>
      <c r="F395" s="67" t="str">
        <f>IFERROR(LOOKUP(E395,CODIGOS!A:A,CODIGOS!B:B)," ")</f>
        <v xml:space="preserve"> </v>
      </c>
      <c r="H395" s="74" t="str">
        <f>IF(J395="SI",IFERROR(LOOKUP(E395,CODIGOS!A:A,CODIGOS!C:C)," "),IFERROR(LOOKUP(E395,CODIGOS!A:A,CODIGOS!D:D),""))</f>
        <v/>
      </c>
      <c r="J395" s="35" t="str">
        <f>IFERROR(LOOKUP(D395,SOCIO!B:B,SOCIO!C:C)," ")</f>
        <v xml:space="preserve"> </v>
      </c>
    </row>
    <row r="396" spans="1:10">
      <c r="A396" s="83" t="str">
        <f t="shared" si="6"/>
        <v xml:space="preserve"> </v>
      </c>
      <c r="C396" s="63" t="str">
        <f>IFERROR(LOOKUP(D396,SOCIO!B:B,SOCIO!A:A),"")</f>
        <v/>
      </c>
      <c r="F396" s="67" t="str">
        <f>IFERROR(LOOKUP(E396,CODIGOS!A:A,CODIGOS!B:B)," ")</f>
        <v xml:space="preserve"> </v>
      </c>
      <c r="H396" s="74" t="str">
        <f>IF(J396="SI",IFERROR(LOOKUP(E396,CODIGOS!A:A,CODIGOS!C:C)," "),IFERROR(LOOKUP(E396,CODIGOS!A:A,CODIGOS!D:D),""))</f>
        <v/>
      </c>
      <c r="J396" s="35" t="str">
        <f>IFERROR(LOOKUP(D396,SOCIO!B:B,SOCIO!C:C)," ")</f>
        <v xml:space="preserve"> </v>
      </c>
    </row>
    <row r="397" spans="1:10">
      <c r="A397" s="83" t="str">
        <f t="shared" si="6"/>
        <v xml:space="preserve"> </v>
      </c>
      <c r="C397" s="63" t="str">
        <f>IFERROR(LOOKUP(D397,SOCIO!B:B,SOCIO!A:A),"")</f>
        <v/>
      </c>
      <c r="F397" s="67" t="str">
        <f>IFERROR(LOOKUP(E397,CODIGOS!A:A,CODIGOS!B:B)," ")</f>
        <v xml:space="preserve"> </v>
      </c>
      <c r="H397" s="74" t="str">
        <f>IF(J397="SI",IFERROR(LOOKUP(E397,CODIGOS!A:A,CODIGOS!C:C)," "),IFERROR(LOOKUP(E397,CODIGOS!A:A,CODIGOS!D:D),""))</f>
        <v/>
      </c>
      <c r="J397" s="35" t="str">
        <f>IFERROR(LOOKUP(D397,SOCIO!B:B,SOCIO!C:C)," ")</f>
        <v xml:space="preserve"> </v>
      </c>
    </row>
    <row r="398" spans="1:10">
      <c r="A398" s="83" t="str">
        <f t="shared" si="6"/>
        <v xml:space="preserve"> </v>
      </c>
      <c r="C398" s="63" t="str">
        <f>IFERROR(LOOKUP(D398,SOCIO!B:B,SOCIO!A:A),"")</f>
        <v/>
      </c>
      <c r="F398" s="67" t="str">
        <f>IFERROR(LOOKUP(E398,CODIGOS!A:A,CODIGOS!B:B)," ")</f>
        <v xml:space="preserve"> </v>
      </c>
      <c r="H398" s="74" t="str">
        <f>IF(J398="SI",IFERROR(LOOKUP(E398,CODIGOS!A:A,CODIGOS!C:C)," "),IFERROR(LOOKUP(E398,CODIGOS!A:A,CODIGOS!D:D),""))</f>
        <v/>
      </c>
      <c r="J398" s="35" t="str">
        <f>IFERROR(LOOKUP(D398,SOCIO!B:B,SOCIO!C:C)," ")</f>
        <v xml:space="preserve"> </v>
      </c>
    </row>
    <row r="399" spans="1:10">
      <c r="A399" s="83" t="str">
        <f t="shared" si="6"/>
        <v xml:space="preserve"> </v>
      </c>
      <c r="C399" s="63" t="str">
        <f>IFERROR(LOOKUP(D399,SOCIO!B:B,SOCIO!A:A),"")</f>
        <v/>
      </c>
      <c r="F399" s="67" t="str">
        <f>IFERROR(LOOKUP(E399,CODIGOS!A:A,CODIGOS!B:B)," ")</f>
        <v xml:space="preserve"> </v>
      </c>
      <c r="H399" s="74" t="str">
        <f>IF(J399="SI",IFERROR(LOOKUP(E399,CODIGOS!A:A,CODIGOS!C:C)," "),IFERROR(LOOKUP(E399,CODIGOS!A:A,CODIGOS!D:D),""))</f>
        <v/>
      </c>
      <c r="J399" s="35" t="str">
        <f>IFERROR(LOOKUP(D399,SOCIO!B:B,SOCIO!C:C)," ")</f>
        <v xml:space="preserve"> </v>
      </c>
    </row>
    <row r="400" spans="1:10">
      <c r="A400" s="83" t="str">
        <f t="shared" si="6"/>
        <v xml:space="preserve"> </v>
      </c>
      <c r="C400" s="63" t="str">
        <f>IFERROR(LOOKUP(D400,SOCIO!B:B,SOCIO!A:A),"")</f>
        <v/>
      </c>
      <c r="F400" s="67" t="str">
        <f>IFERROR(LOOKUP(E400,CODIGOS!A:A,CODIGOS!B:B)," ")</f>
        <v xml:space="preserve"> </v>
      </c>
      <c r="H400" s="74" t="str">
        <f>IF(J400="SI",IFERROR(LOOKUP(E400,CODIGOS!A:A,CODIGOS!C:C)," "),IFERROR(LOOKUP(E400,CODIGOS!A:A,CODIGOS!D:D),""))</f>
        <v/>
      </c>
      <c r="J400" s="35" t="str">
        <f>IFERROR(LOOKUP(D400,SOCIO!B:B,SOCIO!C:C)," ")</f>
        <v xml:space="preserve"> </v>
      </c>
    </row>
    <row r="401" spans="1:10">
      <c r="A401" s="83" t="str">
        <f t="shared" si="6"/>
        <v xml:space="preserve"> </v>
      </c>
      <c r="C401" s="63" t="str">
        <f>IFERROR(LOOKUP(D401,SOCIO!B:B,SOCIO!A:A),"")</f>
        <v/>
      </c>
      <c r="F401" s="67" t="str">
        <f>IFERROR(LOOKUP(E401,CODIGOS!A:A,CODIGOS!B:B)," ")</f>
        <v xml:space="preserve"> </v>
      </c>
      <c r="H401" s="74" t="str">
        <f>IF(J401="SI",IFERROR(LOOKUP(E401,CODIGOS!A:A,CODIGOS!C:C)," "),IFERROR(LOOKUP(E401,CODIGOS!A:A,CODIGOS!D:D),""))</f>
        <v/>
      </c>
      <c r="J401" s="35" t="str">
        <f>IFERROR(LOOKUP(D401,SOCIO!B:B,SOCIO!C:C)," ")</f>
        <v xml:space="preserve"> </v>
      </c>
    </row>
    <row r="402" spans="1:10">
      <c r="A402" s="83" t="str">
        <f t="shared" si="6"/>
        <v xml:space="preserve"> </v>
      </c>
      <c r="C402" s="63" t="str">
        <f>IFERROR(LOOKUP(D402,SOCIO!B:B,SOCIO!A:A),"")</f>
        <v/>
      </c>
      <c r="F402" s="67" t="str">
        <f>IFERROR(LOOKUP(E402,CODIGOS!A:A,CODIGOS!B:B)," ")</f>
        <v xml:space="preserve"> </v>
      </c>
      <c r="H402" s="74" t="str">
        <f>IF(J402="SI",IFERROR(LOOKUP(E402,CODIGOS!A:A,CODIGOS!C:C)," "),IFERROR(LOOKUP(E402,CODIGOS!A:A,CODIGOS!D:D),""))</f>
        <v/>
      </c>
      <c r="J402" s="35" t="str">
        <f>IFERROR(LOOKUP(D402,SOCIO!B:B,SOCIO!C:C)," ")</f>
        <v xml:space="preserve"> </v>
      </c>
    </row>
    <row r="403" spans="1:10">
      <c r="A403" s="83" t="str">
        <f t="shared" si="6"/>
        <v xml:space="preserve"> </v>
      </c>
      <c r="C403" s="63" t="str">
        <f>IFERROR(LOOKUP(D403,SOCIO!B:B,SOCIO!A:A),"")</f>
        <v/>
      </c>
      <c r="F403" s="67" t="str">
        <f>IFERROR(LOOKUP(E403,CODIGOS!A:A,CODIGOS!B:B)," ")</f>
        <v xml:space="preserve"> </v>
      </c>
      <c r="H403" s="74" t="str">
        <f>IF(J403="SI",IFERROR(LOOKUP(E403,CODIGOS!A:A,CODIGOS!C:C)," "),IFERROR(LOOKUP(E403,CODIGOS!A:A,CODIGOS!D:D),""))</f>
        <v/>
      </c>
      <c r="J403" s="35" t="str">
        <f>IFERROR(LOOKUP(D403,SOCIO!B:B,SOCIO!C:C)," ")</f>
        <v xml:space="preserve"> </v>
      </c>
    </row>
    <row r="404" spans="1:10">
      <c r="A404" s="83" t="str">
        <f t="shared" si="6"/>
        <v xml:space="preserve"> </v>
      </c>
      <c r="C404" s="63" t="str">
        <f>IFERROR(LOOKUP(D404,SOCIO!B:B,SOCIO!A:A),"")</f>
        <v/>
      </c>
      <c r="F404" s="67" t="str">
        <f>IFERROR(LOOKUP(E404,CODIGOS!A:A,CODIGOS!B:B)," ")</f>
        <v xml:space="preserve"> </v>
      </c>
      <c r="H404" s="74" t="str">
        <f>IF(J404="SI",IFERROR(LOOKUP(E404,CODIGOS!A:A,CODIGOS!C:C)," "),IFERROR(LOOKUP(E404,CODIGOS!A:A,CODIGOS!D:D),""))</f>
        <v/>
      </c>
      <c r="J404" s="35" t="str">
        <f>IFERROR(LOOKUP(D404,SOCIO!B:B,SOCIO!C:C)," ")</f>
        <v xml:space="preserve"> </v>
      </c>
    </row>
    <row r="405" spans="1:10">
      <c r="A405" s="83" t="str">
        <f t="shared" si="6"/>
        <v xml:space="preserve"> </v>
      </c>
      <c r="C405" s="63" t="str">
        <f>IFERROR(LOOKUP(D405,SOCIO!B:B,SOCIO!A:A),"")</f>
        <v/>
      </c>
      <c r="F405" s="67" t="str">
        <f>IFERROR(LOOKUP(E405,CODIGOS!A:A,CODIGOS!B:B)," ")</f>
        <v xml:space="preserve"> </v>
      </c>
      <c r="H405" s="74" t="str">
        <f>IF(J405="SI",IFERROR(LOOKUP(E405,CODIGOS!A:A,CODIGOS!C:C)," "),IFERROR(LOOKUP(E405,CODIGOS!A:A,CODIGOS!D:D),""))</f>
        <v/>
      </c>
      <c r="J405" s="35" t="str">
        <f>IFERROR(LOOKUP(D405,SOCIO!B:B,SOCIO!C:C)," ")</f>
        <v xml:space="preserve"> </v>
      </c>
    </row>
    <row r="406" spans="1:10">
      <c r="A406" s="83" t="str">
        <f t="shared" si="6"/>
        <v xml:space="preserve"> </v>
      </c>
      <c r="C406" s="63" t="str">
        <f>IFERROR(LOOKUP(D406,SOCIO!B:B,SOCIO!A:A),"")</f>
        <v/>
      </c>
      <c r="F406" s="67" t="str">
        <f>IFERROR(LOOKUP(E406,CODIGOS!A:A,CODIGOS!B:B)," ")</f>
        <v xml:space="preserve"> </v>
      </c>
      <c r="H406" s="74" t="str">
        <f>IF(J406="SI",IFERROR(LOOKUP(E406,CODIGOS!A:A,CODIGOS!C:C)," "),IFERROR(LOOKUP(E406,CODIGOS!A:A,CODIGOS!D:D),""))</f>
        <v/>
      </c>
      <c r="J406" s="35" t="str">
        <f>IFERROR(LOOKUP(D406,SOCIO!B:B,SOCIO!C:C)," ")</f>
        <v xml:space="preserve"> </v>
      </c>
    </row>
    <row r="407" spans="1:10">
      <c r="A407" s="83" t="str">
        <f t="shared" si="6"/>
        <v xml:space="preserve"> </v>
      </c>
      <c r="C407" s="63" t="str">
        <f>IFERROR(LOOKUP(D407,SOCIO!B:B,SOCIO!A:A),"")</f>
        <v/>
      </c>
      <c r="F407" s="67" t="str">
        <f>IFERROR(LOOKUP(E407,CODIGOS!A:A,CODIGOS!B:B)," ")</f>
        <v xml:space="preserve"> </v>
      </c>
      <c r="H407" s="74" t="str">
        <f>IF(J407="SI",IFERROR(LOOKUP(E407,CODIGOS!A:A,CODIGOS!C:C)," "),IFERROR(LOOKUP(E407,CODIGOS!A:A,CODIGOS!D:D),""))</f>
        <v/>
      </c>
      <c r="J407" s="35" t="str">
        <f>IFERROR(LOOKUP(D407,SOCIO!B:B,SOCIO!C:C)," ")</f>
        <v xml:space="preserve"> </v>
      </c>
    </row>
    <row r="408" spans="1:10">
      <c r="A408" s="83" t="str">
        <f t="shared" si="6"/>
        <v xml:space="preserve"> </v>
      </c>
      <c r="C408" s="63" t="str">
        <f>IFERROR(LOOKUP(D408,SOCIO!B:B,SOCIO!A:A),"")</f>
        <v/>
      </c>
      <c r="F408" s="67" t="str">
        <f>IFERROR(LOOKUP(E408,CODIGOS!A:A,CODIGOS!B:B)," ")</f>
        <v xml:space="preserve"> </v>
      </c>
      <c r="H408" s="74" t="str">
        <f>IF(J408="SI",IFERROR(LOOKUP(E408,CODIGOS!A:A,CODIGOS!C:C)," "),IFERROR(LOOKUP(E408,CODIGOS!A:A,CODIGOS!D:D),""))</f>
        <v/>
      </c>
      <c r="J408" s="35" t="str">
        <f>IFERROR(LOOKUP(D408,SOCIO!B:B,SOCIO!C:C)," ")</f>
        <v xml:space="preserve"> </v>
      </c>
    </row>
    <row r="409" spans="1:10">
      <c r="A409" s="83" t="str">
        <f t="shared" si="6"/>
        <v xml:space="preserve"> </v>
      </c>
      <c r="C409" s="63" t="str">
        <f>IFERROR(LOOKUP(D409,SOCIO!B:B,SOCIO!A:A),"")</f>
        <v/>
      </c>
      <c r="F409" s="67" t="str">
        <f>IFERROR(LOOKUP(E409,CODIGOS!A:A,CODIGOS!B:B)," ")</f>
        <v xml:space="preserve"> </v>
      </c>
      <c r="H409" s="74" t="str">
        <f>IF(J409="SI",IFERROR(LOOKUP(E409,CODIGOS!A:A,CODIGOS!C:C)," "),IFERROR(LOOKUP(E409,CODIGOS!A:A,CODIGOS!D:D),""))</f>
        <v/>
      </c>
      <c r="J409" s="35" t="str">
        <f>IFERROR(LOOKUP(D409,SOCIO!B:B,SOCIO!C:C)," ")</f>
        <v xml:space="preserve"> </v>
      </c>
    </row>
    <row r="410" spans="1:10">
      <c r="A410" s="83" t="str">
        <f t="shared" si="6"/>
        <v xml:space="preserve"> </v>
      </c>
      <c r="C410" s="63" t="str">
        <f>IFERROR(LOOKUP(D410,SOCIO!B:B,SOCIO!A:A),"")</f>
        <v/>
      </c>
      <c r="F410" s="67" t="str">
        <f>IFERROR(LOOKUP(E410,CODIGOS!A:A,CODIGOS!B:B)," ")</f>
        <v xml:space="preserve"> </v>
      </c>
      <c r="H410" s="74" t="str">
        <f>IF(J410="SI",IFERROR(LOOKUP(E410,CODIGOS!A:A,CODIGOS!C:C)," "),IFERROR(LOOKUP(E410,CODIGOS!A:A,CODIGOS!D:D),""))</f>
        <v/>
      </c>
      <c r="J410" s="35" t="str">
        <f>IFERROR(LOOKUP(D410,SOCIO!B:B,SOCIO!C:C)," ")</f>
        <v xml:space="preserve"> </v>
      </c>
    </row>
    <row r="411" spans="1:10">
      <c r="A411" s="83" t="str">
        <f t="shared" si="6"/>
        <v xml:space="preserve"> </v>
      </c>
      <c r="C411" s="63" t="str">
        <f>IFERROR(LOOKUP(D411,SOCIO!B:B,SOCIO!A:A),"")</f>
        <v/>
      </c>
      <c r="F411" s="67" t="str">
        <f>IFERROR(LOOKUP(E411,CODIGOS!A:A,CODIGOS!B:B)," ")</f>
        <v xml:space="preserve"> </v>
      </c>
      <c r="H411" s="74" t="str">
        <f>IF(J411="SI",IFERROR(LOOKUP(E411,CODIGOS!A:A,CODIGOS!C:C)," "),IFERROR(LOOKUP(E411,CODIGOS!A:A,CODIGOS!D:D),""))</f>
        <v/>
      </c>
      <c r="J411" s="35" t="str">
        <f>IFERROR(LOOKUP(D411,SOCIO!B:B,SOCIO!C:C)," ")</f>
        <v xml:space="preserve"> </v>
      </c>
    </row>
    <row r="412" spans="1:10">
      <c r="A412" s="83" t="str">
        <f t="shared" si="6"/>
        <v xml:space="preserve"> </v>
      </c>
      <c r="C412" s="63" t="str">
        <f>IFERROR(LOOKUP(D412,SOCIO!B:B,SOCIO!A:A),"")</f>
        <v/>
      </c>
      <c r="F412" s="67" t="str">
        <f>IFERROR(LOOKUP(E412,CODIGOS!A:A,CODIGOS!B:B)," ")</f>
        <v xml:space="preserve"> </v>
      </c>
      <c r="H412" s="74" t="str">
        <f>IF(J412="SI",IFERROR(LOOKUP(E412,CODIGOS!A:A,CODIGOS!C:C)," "),IFERROR(LOOKUP(E412,CODIGOS!A:A,CODIGOS!D:D),""))</f>
        <v/>
      </c>
      <c r="J412" s="35" t="str">
        <f>IFERROR(LOOKUP(D412,SOCIO!B:B,SOCIO!C:C)," ")</f>
        <v xml:space="preserve"> </v>
      </c>
    </row>
    <row r="413" spans="1:10">
      <c r="A413" s="83" t="str">
        <f t="shared" si="6"/>
        <v xml:space="preserve"> </v>
      </c>
      <c r="C413" s="63" t="str">
        <f>IFERROR(LOOKUP(D413,SOCIO!B:B,SOCIO!A:A),"")</f>
        <v/>
      </c>
      <c r="F413" s="67" t="str">
        <f>IFERROR(LOOKUP(E413,CODIGOS!A:A,CODIGOS!B:B)," ")</f>
        <v xml:space="preserve"> </v>
      </c>
      <c r="H413" s="74" t="str">
        <f>IF(J413="SI",IFERROR(LOOKUP(E413,CODIGOS!A:A,CODIGOS!C:C)," "),IFERROR(LOOKUP(E413,CODIGOS!A:A,CODIGOS!D:D),""))</f>
        <v/>
      </c>
      <c r="J413" s="35" t="str">
        <f>IFERROR(LOOKUP(D413,SOCIO!B:B,SOCIO!C:C)," ")</f>
        <v xml:space="preserve"> </v>
      </c>
    </row>
    <row r="414" spans="1:10">
      <c r="A414" s="83" t="str">
        <f t="shared" si="6"/>
        <v xml:space="preserve"> </v>
      </c>
      <c r="C414" s="63" t="str">
        <f>IFERROR(LOOKUP(D414,SOCIO!B:B,SOCIO!A:A),"")</f>
        <v/>
      </c>
      <c r="F414" s="67" t="str">
        <f>IFERROR(LOOKUP(E414,CODIGOS!A:A,CODIGOS!B:B)," ")</f>
        <v xml:space="preserve"> </v>
      </c>
      <c r="H414" s="74" t="str">
        <f>IF(J414="SI",IFERROR(LOOKUP(E414,CODIGOS!A:A,CODIGOS!C:C)," "),IFERROR(LOOKUP(E414,CODIGOS!A:A,CODIGOS!D:D),""))</f>
        <v/>
      </c>
      <c r="J414" s="35" t="str">
        <f>IFERROR(LOOKUP(D414,SOCIO!B:B,SOCIO!C:C)," ")</f>
        <v xml:space="preserve"> </v>
      </c>
    </row>
    <row r="415" spans="1:10">
      <c r="A415" s="83" t="str">
        <f t="shared" si="6"/>
        <v xml:space="preserve"> </v>
      </c>
      <c r="C415" s="63" t="str">
        <f>IFERROR(LOOKUP(D415,SOCIO!B:B,SOCIO!A:A),"")</f>
        <v/>
      </c>
      <c r="F415" s="67" t="str">
        <f>IFERROR(LOOKUP(E415,CODIGOS!A:A,CODIGOS!B:B)," ")</f>
        <v xml:space="preserve"> </v>
      </c>
      <c r="H415" s="74" t="str">
        <f>IF(J415="SI",IFERROR(LOOKUP(E415,CODIGOS!A:A,CODIGOS!C:C)," "),IFERROR(LOOKUP(E415,CODIGOS!A:A,CODIGOS!D:D),""))</f>
        <v/>
      </c>
      <c r="J415" s="35" t="str">
        <f>IFERROR(LOOKUP(D415,SOCIO!B:B,SOCIO!C:C)," ")</f>
        <v xml:space="preserve"> </v>
      </c>
    </row>
    <row r="416" spans="1:10">
      <c r="A416" s="83" t="str">
        <f t="shared" si="6"/>
        <v xml:space="preserve"> </v>
      </c>
      <c r="C416" s="63" t="str">
        <f>IFERROR(LOOKUP(D416,SOCIO!B:B,SOCIO!A:A),"")</f>
        <v/>
      </c>
      <c r="F416" s="67" t="str">
        <f>IFERROR(LOOKUP(E416,CODIGOS!A:A,CODIGOS!B:B)," ")</f>
        <v xml:space="preserve"> </v>
      </c>
      <c r="H416" s="74" t="str">
        <f>IF(J416="SI",IFERROR(LOOKUP(E416,CODIGOS!A:A,CODIGOS!C:C)," "),IFERROR(LOOKUP(E416,CODIGOS!A:A,CODIGOS!D:D),""))</f>
        <v/>
      </c>
      <c r="J416" s="35" t="str">
        <f>IFERROR(LOOKUP(D416,SOCIO!B:B,SOCIO!C:C)," ")</f>
        <v xml:space="preserve"> </v>
      </c>
    </row>
    <row r="417" spans="1:10">
      <c r="A417" s="83" t="str">
        <f t="shared" si="6"/>
        <v xml:space="preserve"> </v>
      </c>
      <c r="C417" s="63" t="str">
        <f>IFERROR(LOOKUP(D417,SOCIO!B:B,SOCIO!A:A),"")</f>
        <v/>
      </c>
      <c r="F417" s="67" t="str">
        <f>IFERROR(LOOKUP(E417,CODIGOS!A:A,CODIGOS!B:B)," ")</f>
        <v xml:space="preserve"> </v>
      </c>
      <c r="H417" s="74" t="str">
        <f>IF(J417="SI",IFERROR(LOOKUP(E417,CODIGOS!A:A,CODIGOS!C:C)," "),IFERROR(LOOKUP(E417,CODIGOS!A:A,CODIGOS!D:D),""))</f>
        <v/>
      </c>
      <c r="J417" s="35" t="str">
        <f>IFERROR(LOOKUP(D417,SOCIO!B:B,SOCIO!C:C)," ")</f>
        <v xml:space="preserve"> </v>
      </c>
    </row>
    <row r="418" spans="1:10">
      <c r="A418" s="83" t="str">
        <f t="shared" si="6"/>
        <v xml:space="preserve"> </v>
      </c>
      <c r="C418" s="63" t="str">
        <f>IFERROR(LOOKUP(D418,SOCIO!B:B,SOCIO!A:A),"")</f>
        <v/>
      </c>
      <c r="F418" s="67" t="str">
        <f>IFERROR(LOOKUP(E418,CODIGOS!A:A,CODIGOS!B:B)," ")</f>
        <v xml:space="preserve"> </v>
      </c>
      <c r="H418" s="74" t="str">
        <f>IF(J418="SI",IFERROR(LOOKUP(E418,CODIGOS!A:A,CODIGOS!C:C)," "),IFERROR(LOOKUP(E418,CODIGOS!A:A,CODIGOS!D:D),""))</f>
        <v/>
      </c>
      <c r="J418" s="35" t="str">
        <f>IFERROR(LOOKUP(D418,SOCIO!B:B,SOCIO!C:C)," ")</f>
        <v xml:space="preserve"> </v>
      </c>
    </row>
    <row r="419" spans="1:10">
      <c r="A419" s="83" t="str">
        <f t="shared" si="6"/>
        <v xml:space="preserve"> </v>
      </c>
      <c r="C419" s="63" t="str">
        <f>IFERROR(LOOKUP(D419,SOCIO!B:B,SOCIO!A:A),"")</f>
        <v/>
      </c>
      <c r="F419" s="67" t="str">
        <f>IFERROR(LOOKUP(E419,CODIGOS!A:A,CODIGOS!B:B)," ")</f>
        <v xml:space="preserve"> </v>
      </c>
      <c r="H419" s="74" t="str">
        <f>IF(J419="SI",IFERROR(LOOKUP(E419,CODIGOS!A:A,CODIGOS!C:C)," "),IFERROR(LOOKUP(E419,CODIGOS!A:A,CODIGOS!D:D),""))</f>
        <v/>
      </c>
      <c r="J419" s="35" t="str">
        <f>IFERROR(LOOKUP(D419,SOCIO!B:B,SOCIO!C:C)," ")</f>
        <v xml:space="preserve"> </v>
      </c>
    </row>
    <row r="420" spans="1:10">
      <c r="A420" s="83" t="str">
        <f t="shared" si="6"/>
        <v xml:space="preserve"> </v>
      </c>
      <c r="C420" s="63" t="str">
        <f>IFERROR(LOOKUP(D420,SOCIO!B:B,SOCIO!A:A),"")</f>
        <v/>
      </c>
      <c r="F420" s="67" t="str">
        <f>IFERROR(LOOKUP(E420,CODIGOS!A:A,CODIGOS!B:B)," ")</f>
        <v xml:space="preserve"> </v>
      </c>
      <c r="H420" s="74" t="str">
        <f>IF(J420="SI",IFERROR(LOOKUP(E420,CODIGOS!A:A,CODIGOS!C:C)," "),IFERROR(LOOKUP(E420,CODIGOS!A:A,CODIGOS!D:D),""))</f>
        <v/>
      </c>
      <c r="J420" s="35" t="str">
        <f>IFERROR(LOOKUP(D420,SOCIO!B:B,SOCIO!C:C)," ")</f>
        <v xml:space="preserve"> </v>
      </c>
    </row>
    <row r="421" spans="1:10">
      <c r="A421" s="83" t="str">
        <f t="shared" si="6"/>
        <v xml:space="preserve"> </v>
      </c>
      <c r="C421" s="63" t="str">
        <f>IFERROR(LOOKUP(D421,SOCIO!B:B,SOCIO!A:A),"")</f>
        <v/>
      </c>
      <c r="F421" s="67" t="str">
        <f>IFERROR(LOOKUP(E421,CODIGOS!A:A,CODIGOS!B:B)," ")</f>
        <v xml:space="preserve"> </v>
      </c>
      <c r="H421" s="74" t="str">
        <f>IF(J421="SI",IFERROR(LOOKUP(E421,CODIGOS!A:A,CODIGOS!C:C)," "),IFERROR(LOOKUP(E421,CODIGOS!A:A,CODIGOS!D:D),""))</f>
        <v/>
      </c>
      <c r="J421" s="35" t="str">
        <f>IFERROR(LOOKUP(D421,SOCIO!B:B,SOCIO!C:C)," ")</f>
        <v xml:space="preserve"> </v>
      </c>
    </row>
    <row r="422" spans="1:10">
      <c r="A422" s="83" t="str">
        <f t="shared" si="6"/>
        <v xml:space="preserve"> </v>
      </c>
      <c r="C422" s="63" t="str">
        <f>IFERROR(LOOKUP(D422,SOCIO!B:B,SOCIO!A:A),"")</f>
        <v/>
      </c>
      <c r="F422" s="67" t="str">
        <f>IFERROR(LOOKUP(E422,CODIGOS!A:A,CODIGOS!B:B)," ")</f>
        <v xml:space="preserve"> </v>
      </c>
      <c r="H422" s="74" t="str">
        <f>IF(J422="SI",IFERROR(LOOKUP(E422,CODIGOS!A:A,CODIGOS!C:C)," "),IFERROR(LOOKUP(E422,CODIGOS!A:A,CODIGOS!D:D),""))</f>
        <v/>
      </c>
      <c r="J422" s="35" t="str">
        <f>IFERROR(LOOKUP(D422,SOCIO!B:B,SOCIO!C:C)," ")</f>
        <v xml:space="preserve"> </v>
      </c>
    </row>
    <row r="423" spans="1:10">
      <c r="A423" s="83" t="str">
        <f t="shared" si="6"/>
        <v xml:space="preserve"> </v>
      </c>
      <c r="C423" s="63" t="str">
        <f>IFERROR(LOOKUP(D423,SOCIO!B:B,SOCIO!A:A),"")</f>
        <v/>
      </c>
      <c r="F423" s="67" t="str">
        <f>IFERROR(LOOKUP(E423,CODIGOS!A:A,CODIGOS!B:B)," ")</f>
        <v xml:space="preserve"> </v>
      </c>
      <c r="H423" s="74" t="str">
        <f>IF(J423="SI",IFERROR(LOOKUP(E423,CODIGOS!A:A,CODIGOS!C:C)," "),IFERROR(LOOKUP(E423,CODIGOS!A:A,CODIGOS!D:D),""))</f>
        <v/>
      </c>
      <c r="J423" s="35" t="str">
        <f>IFERROR(LOOKUP(D423,SOCIO!B:B,SOCIO!C:C)," ")</f>
        <v xml:space="preserve"> </v>
      </c>
    </row>
    <row r="424" spans="1:10">
      <c r="A424" s="83" t="str">
        <f t="shared" si="6"/>
        <v xml:space="preserve"> </v>
      </c>
      <c r="C424" s="63" t="str">
        <f>IFERROR(LOOKUP(D424,SOCIO!B:B,SOCIO!A:A),"")</f>
        <v/>
      </c>
      <c r="F424" s="67" t="str">
        <f>IFERROR(LOOKUP(E424,CODIGOS!A:A,CODIGOS!B:B)," ")</f>
        <v xml:space="preserve"> </v>
      </c>
      <c r="H424" s="74" t="str">
        <f>IF(J424="SI",IFERROR(LOOKUP(E424,CODIGOS!A:A,CODIGOS!C:C)," "),IFERROR(LOOKUP(E424,CODIGOS!A:A,CODIGOS!D:D),""))</f>
        <v/>
      </c>
      <c r="J424" s="35" t="str">
        <f>IFERROR(LOOKUP(D424,SOCIO!B:B,SOCIO!C:C)," ")</f>
        <v xml:space="preserve"> </v>
      </c>
    </row>
    <row r="425" spans="1:10">
      <c r="A425" s="83" t="str">
        <f t="shared" si="6"/>
        <v xml:space="preserve"> </v>
      </c>
      <c r="C425" s="63" t="str">
        <f>IFERROR(LOOKUP(D425,SOCIO!B:B,SOCIO!A:A),"")</f>
        <v/>
      </c>
      <c r="F425" s="67" t="str">
        <f>IFERROR(LOOKUP(E425,CODIGOS!A:A,CODIGOS!B:B)," ")</f>
        <v xml:space="preserve"> </v>
      </c>
      <c r="H425" s="74" t="str">
        <f>IF(J425="SI",IFERROR(LOOKUP(E425,CODIGOS!A:A,CODIGOS!C:C)," "),IFERROR(LOOKUP(E425,CODIGOS!A:A,CODIGOS!D:D),""))</f>
        <v/>
      </c>
      <c r="J425" s="35" t="str">
        <f>IFERROR(LOOKUP(D425,SOCIO!B:B,SOCIO!C:C)," ")</f>
        <v xml:space="preserve"> </v>
      </c>
    </row>
    <row r="426" spans="1:10">
      <c r="A426" s="83" t="str">
        <f t="shared" si="6"/>
        <v xml:space="preserve"> </v>
      </c>
      <c r="C426" s="63" t="str">
        <f>IFERROR(LOOKUP(D426,SOCIO!B:B,SOCIO!A:A),"")</f>
        <v/>
      </c>
      <c r="F426" s="67" t="str">
        <f>IFERROR(LOOKUP(E426,CODIGOS!A:A,CODIGOS!B:B)," ")</f>
        <v xml:space="preserve"> </v>
      </c>
      <c r="H426" s="74" t="str">
        <f>IF(J426="SI",IFERROR(LOOKUP(E426,CODIGOS!A:A,CODIGOS!C:C)," "),IFERROR(LOOKUP(E426,CODIGOS!A:A,CODIGOS!D:D),""))</f>
        <v/>
      </c>
      <c r="J426" s="35" t="str">
        <f>IFERROR(LOOKUP(D426,SOCIO!B:B,SOCIO!C:C)," ")</f>
        <v xml:space="preserve"> </v>
      </c>
    </row>
    <row r="427" spans="1:10">
      <c r="A427" s="83" t="str">
        <f t="shared" si="6"/>
        <v xml:space="preserve"> </v>
      </c>
      <c r="C427" s="63" t="str">
        <f>IFERROR(LOOKUP(D427,SOCIO!B:B,SOCIO!A:A),"")</f>
        <v/>
      </c>
      <c r="F427" s="67" t="str">
        <f>IFERROR(LOOKUP(E427,CODIGOS!A:A,CODIGOS!B:B)," ")</f>
        <v xml:space="preserve"> </v>
      </c>
      <c r="H427" s="74" t="str">
        <f>IF(J427="SI",IFERROR(LOOKUP(E427,CODIGOS!A:A,CODIGOS!C:C)," "),IFERROR(LOOKUP(E427,CODIGOS!A:A,CODIGOS!D:D),""))</f>
        <v/>
      </c>
      <c r="J427" s="35" t="str">
        <f>IFERROR(LOOKUP(D427,SOCIO!B:B,SOCIO!C:C)," ")</f>
        <v xml:space="preserve"> </v>
      </c>
    </row>
    <row r="428" spans="1:10">
      <c r="A428" s="83" t="str">
        <f t="shared" si="6"/>
        <v xml:space="preserve"> </v>
      </c>
      <c r="C428" s="63" t="str">
        <f>IFERROR(LOOKUP(D428,SOCIO!B:B,SOCIO!A:A),"")</f>
        <v/>
      </c>
      <c r="F428" s="67" t="str">
        <f>IFERROR(LOOKUP(E428,CODIGOS!A:A,CODIGOS!B:B)," ")</f>
        <v xml:space="preserve"> </v>
      </c>
      <c r="H428" s="74" t="str">
        <f>IF(J428="SI",IFERROR(LOOKUP(E428,CODIGOS!A:A,CODIGOS!C:C)," "),IFERROR(LOOKUP(E428,CODIGOS!A:A,CODIGOS!D:D),""))</f>
        <v/>
      </c>
      <c r="J428" s="35" t="str">
        <f>IFERROR(LOOKUP(D428,SOCIO!B:B,SOCIO!C:C)," ")</f>
        <v xml:space="preserve"> </v>
      </c>
    </row>
    <row r="429" spans="1:10">
      <c r="A429" s="83" t="str">
        <f t="shared" si="6"/>
        <v xml:space="preserve"> </v>
      </c>
      <c r="C429" s="63" t="str">
        <f>IFERROR(LOOKUP(D429,SOCIO!B:B,SOCIO!A:A),"")</f>
        <v/>
      </c>
      <c r="F429" s="67" t="str">
        <f>IFERROR(LOOKUP(E429,CODIGOS!A:A,CODIGOS!B:B)," ")</f>
        <v xml:space="preserve"> </v>
      </c>
      <c r="H429" s="74" t="str">
        <f>IF(J429="SI",IFERROR(LOOKUP(E429,CODIGOS!A:A,CODIGOS!C:C)," "),IFERROR(LOOKUP(E429,CODIGOS!A:A,CODIGOS!D:D),""))</f>
        <v/>
      </c>
      <c r="J429" s="35" t="str">
        <f>IFERROR(LOOKUP(D429,SOCIO!B:B,SOCIO!C:C)," ")</f>
        <v xml:space="preserve"> </v>
      </c>
    </row>
    <row r="430" spans="1:10">
      <c r="A430" s="83" t="str">
        <f t="shared" si="6"/>
        <v xml:space="preserve"> </v>
      </c>
      <c r="C430" s="63" t="str">
        <f>IFERROR(LOOKUP(D430,SOCIO!B:B,SOCIO!A:A),"")</f>
        <v/>
      </c>
      <c r="F430" s="67" t="str">
        <f>IFERROR(LOOKUP(E430,CODIGOS!A:A,CODIGOS!B:B)," ")</f>
        <v xml:space="preserve"> </v>
      </c>
      <c r="H430" s="74" t="str">
        <f>IF(J430="SI",IFERROR(LOOKUP(E430,CODIGOS!A:A,CODIGOS!C:C)," "),IFERROR(LOOKUP(E430,CODIGOS!A:A,CODIGOS!D:D),""))</f>
        <v/>
      </c>
      <c r="J430" s="35" t="str">
        <f>IFERROR(LOOKUP(D430,SOCIO!B:B,SOCIO!C:C)," ")</f>
        <v xml:space="preserve"> </v>
      </c>
    </row>
    <row r="431" spans="1:10">
      <c r="A431" s="83" t="str">
        <f t="shared" si="6"/>
        <v xml:space="preserve"> </v>
      </c>
      <c r="C431" s="63" t="str">
        <f>IFERROR(LOOKUP(D431,SOCIO!B:B,SOCIO!A:A),"")</f>
        <v/>
      </c>
      <c r="F431" s="67" t="str">
        <f>IFERROR(LOOKUP(E431,CODIGOS!A:A,CODIGOS!B:B)," ")</f>
        <v xml:space="preserve"> </v>
      </c>
      <c r="H431" s="74" t="str">
        <f>IF(J431="SI",IFERROR(LOOKUP(E431,CODIGOS!A:A,CODIGOS!C:C)," "),IFERROR(LOOKUP(E431,CODIGOS!A:A,CODIGOS!D:D),""))</f>
        <v/>
      </c>
      <c r="J431" s="35" t="str">
        <f>IFERROR(LOOKUP(D431,SOCIO!B:B,SOCIO!C:C)," ")</f>
        <v xml:space="preserve"> </v>
      </c>
    </row>
    <row r="432" spans="1:10">
      <c r="A432" s="83" t="str">
        <f t="shared" si="6"/>
        <v xml:space="preserve"> </v>
      </c>
      <c r="C432" s="63" t="str">
        <f>IFERROR(LOOKUP(D432,SOCIO!B:B,SOCIO!A:A),"")</f>
        <v/>
      </c>
      <c r="F432" s="67" t="str">
        <f>IFERROR(LOOKUP(E432,CODIGOS!A:A,CODIGOS!B:B)," ")</f>
        <v xml:space="preserve"> </v>
      </c>
      <c r="H432" s="74" t="str">
        <f>IF(J432="SI",IFERROR(LOOKUP(E432,CODIGOS!A:A,CODIGOS!C:C)," "),IFERROR(LOOKUP(E432,CODIGOS!A:A,CODIGOS!D:D),""))</f>
        <v/>
      </c>
      <c r="J432" s="35" t="str">
        <f>IFERROR(LOOKUP(D432,SOCIO!B:B,SOCIO!C:C)," ")</f>
        <v xml:space="preserve"> </v>
      </c>
    </row>
    <row r="433" spans="1:10">
      <c r="A433" s="83" t="str">
        <f t="shared" si="6"/>
        <v xml:space="preserve"> </v>
      </c>
      <c r="C433" s="63" t="str">
        <f>IFERROR(LOOKUP(D433,SOCIO!B:B,SOCIO!A:A),"")</f>
        <v/>
      </c>
      <c r="F433" s="67" t="str">
        <f>IFERROR(LOOKUP(E433,CODIGOS!A:A,CODIGOS!B:B)," ")</f>
        <v xml:space="preserve"> </v>
      </c>
      <c r="H433" s="74" t="str">
        <f>IF(J433="SI",IFERROR(LOOKUP(E433,CODIGOS!A:A,CODIGOS!C:C)," "),IFERROR(LOOKUP(E433,CODIGOS!A:A,CODIGOS!D:D),""))</f>
        <v/>
      </c>
      <c r="J433" s="35" t="str">
        <f>IFERROR(LOOKUP(D433,SOCIO!B:B,SOCIO!C:C)," ")</f>
        <v xml:space="preserve"> </v>
      </c>
    </row>
    <row r="434" spans="1:10">
      <c r="A434" s="83" t="str">
        <f t="shared" si="6"/>
        <v xml:space="preserve"> </v>
      </c>
      <c r="C434" s="63" t="str">
        <f>IFERROR(LOOKUP(D434,SOCIO!B:B,SOCIO!A:A),"")</f>
        <v/>
      </c>
      <c r="F434" s="67" t="str">
        <f>IFERROR(LOOKUP(E434,CODIGOS!A:A,CODIGOS!B:B)," ")</f>
        <v xml:space="preserve"> </v>
      </c>
      <c r="H434" s="74" t="str">
        <f>IF(J434="SI",IFERROR(LOOKUP(E434,CODIGOS!A:A,CODIGOS!C:C)," "),IFERROR(LOOKUP(E434,CODIGOS!A:A,CODIGOS!D:D),""))</f>
        <v/>
      </c>
      <c r="J434" s="35" t="str">
        <f>IFERROR(LOOKUP(D434,SOCIO!B:B,SOCIO!C:C)," ")</f>
        <v xml:space="preserve"> </v>
      </c>
    </row>
    <row r="435" spans="1:10">
      <c r="A435" s="83" t="str">
        <f t="shared" si="6"/>
        <v xml:space="preserve"> </v>
      </c>
      <c r="C435" s="63" t="str">
        <f>IFERROR(LOOKUP(D435,SOCIO!B:B,SOCIO!A:A),"")</f>
        <v/>
      </c>
      <c r="F435" s="67" t="str">
        <f>IFERROR(LOOKUP(E435,CODIGOS!A:A,CODIGOS!B:B)," ")</f>
        <v xml:space="preserve"> </v>
      </c>
      <c r="H435" s="74" t="str">
        <f>IF(J435="SI",IFERROR(LOOKUP(E435,CODIGOS!A:A,CODIGOS!C:C)," "),IFERROR(LOOKUP(E435,CODIGOS!A:A,CODIGOS!D:D),""))</f>
        <v/>
      </c>
      <c r="J435" s="35" t="str">
        <f>IFERROR(LOOKUP(D435,SOCIO!B:B,SOCIO!C:C)," ")</f>
        <v xml:space="preserve"> </v>
      </c>
    </row>
    <row r="436" spans="1:10">
      <c r="A436" s="83" t="str">
        <f t="shared" si="6"/>
        <v xml:space="preserve"> </v>
      </c>
      <c r="C436" s="63" t="str">
        <f>IFERROR(LOOKUP(D436,SOCIO!B:B,SOCIO!A:A),"")</f>
        <v/>
      </c>
      <c r="F436" s="67" t="str">
        <f>IFERROR(LOOKUP(E436,CODIGOS!A:A,CODIGOS!B:B)," ")</f>
        <v xml:space="preserve"> </v>
      </c>
      <c r="H436" s="74" t="str">
        <f>IF(J436="SI",IFERROR(LOOKUP(E436,CODIGOS!A:A,CODIGOS!C:C)," "),IFERROR(LOOKUP(E436,CODIGOS!A:A,CODIGOS!D:D),""))</f>
        <v/>
      </c>
      <c r="J436" s="35" t="str">
        <f>IFERROR(LOOKUP(D436,SOCIO!B:B,SOCIO!C:C)," ")</f>
        <v xml:space="preserve"> </v>
      </c>
    </row>
    <row r="437" spans="1:10">
      <c r="A437" s="83" t="str">
        <f t="shared" si="6"/>
        <v xml:space="preserve"> </v>
      </c>
      <c r="C437" s="63" t="str">
        <f>IFERROR(LOOKUP(D437,SOCIO!B:B,SOCIO!A:A),"")</f>
        <v/>
      </c>
      <c r="F437" s="67" t="str">
        <f>IFERROR(LOOKUP(E437,CODIGOS!A:A,CODIGOS!B:B)," ")</f>
        <v xml:space="preserve"> </v>
      </c>
      <c r="H437" s="74" t="str">
        <f>IF(J437="SI",IFERROR(LOOKUP(E437,CODIGOS!A:A,CODIGOS!C:C)," "),IFERROR(LOOKUP(E437,CODIGOS!A:A,CODIGOS!D:D),""))</f>
        <v/>
      </c>
      <c r="J437" s="35" t="str">
        <f>IFERROR(LOOKUP(D437,SOCIO!B:B,SOCIO!C:C)," ")</f>
        <v xml:space="preserve"> </v>
      </c>
    </row>
    <row r="438" spans="1:10">
      <c r="A438" s="83" t="str">
        <f t="shared" si="6"/>
        <v xml:space="preserve"> </v>
      </c>
      <c r="C438" s="63" t="str">
        <f>IFERROR(LOOKUP(D438,SOCIO!B:B,SOCIO!A:A),"")</f>
        <v/>
      </c>
      <c r="F438" s="67" t="str">
        <f>IFERROR(LOOKUP(E438,CODIGOS!A:A,CODIGOS!B:B)," ")</f>
        <v xml:space="preserve"> </v>
      </c>
      <c r="H438" s="74" t="str">
        <f>IF(J438="SI",IFERROR(LOOKUP(E438,CODIGOS!A:A,CODIGOS!C:C)," "),IFERROR(LOOKUP(E438,CODIGOS!A:A,CODIGOS!D:D),""))</f>
        <v/>
      </c>
      <c r="J438" s="35" t="str">
        <f>IFERROR(LOOKUP(D438,SOCIO!B:B,SOCIO!C:C)," ")</f>
        <v xml:space="preserve"> </v>
      </c>
    </row>
    <row r="439" spans="1:10">
      <c r="A439" s="83" t="str">
        <f t="shared" si="6"/>
        <v xml:space="preserve"> </v>
      </c>
      <c r="C439" s="63" t="str">
        <f>IFERROR(LOOKUP(D439,SOCIO!B:B,SOCIO!A:A),"")</f>
        <v/>
      </c>
      <c r="F439" s="67" t="str">
        <f>IFERROR(LOOKUP(E439,CODIGOS!A:A,CODIGOS!B:B)," ")</f>
        <v xml:space="preserve"> </v>
      </c>
      <c r="H439" s="74" t="str">
        <f>IF(J439="SI",IFERROR(LOOKUP(E439,CODIGOS!A:A,CODIGOS!C:C)," "),IFERROR(LOOKUP(E439,CODIGOS!A:A,CODIGOS!D:D),""))</f>
        <v/>
      </c>
      <c r="J439" s="35" t="str">
        <f>IFERROR(LOOKUP(D439,SOCIO!B:B,SOCIO!C:C)," ")</f>
        <v xml:space="preserve"> </v>
      </c>
    </row>
    <row r="440" spans="1:10">
      <c r="A440" s="83" t="str">
        <f t="shared" si="6"/>
        <v xml:space="preserve"> </v>
      </c>
      <c r="C440" s="63" t="str">
        <f>IFERROR(LOOKUP(D440,SOCIO!B:B,SOCIO!A:A),"")</f>
        <v/>
      </c>
      <c r="F440" s="67" t="str">
        <f>IFERROR(LOOKUP(E440,CODIGOS!A:A,CODIGOS!B:B)," ")</f>
        <v xml:space="preserve"> </v>
      </c>
      <c r="H440" s="74" t="str">
        <f>IF(J440="SI",IFERROR(LOOKUP(E440,CODIGOS!A:A,CODIGOS!C:C)," "),IFERROR(LOOKUP(E440,CODIGOS!A:A,CODIGOS!D:D),""))</f>
        <v/>
      </c>
      <c r="J440" s="35" t="str">
        <f>IFERROR(LOOKUP(D440,SOCIO!B:B,SOCIO!C:C)," ")</f>
        <v xml:space="preserve"> </v>
      </c>
    </row>
    <row r="441" spans="1:10">
      <c r="A441" s="83" t="str">
        <f t="shared" si="6"/>
        <v xml:space="preserve"> </v>
      </c>
      <c r="C441" s="63" t="str">
        <f>IFERROR(LOOKUP(D441,SOCIO!B:B,SOCIO!A:A),"")</f>
        <v/>
      </c>
      <c r="F441" s="67" t="str">
        <f>IFERROR(LOOKUP(E441,CODIGOS!A:A,CODIGOS!B:B)," ")</f>
        <v xml:space="preserve"> </v>
      </c>
      <c r="H441" s="74" t="str">
        <f>IF(J441="SI",IFERROR(LOOKUP(E441,CODIGOS!A:A,CODIGOS!C:C)," "),IFERROR(LOOKUP(E441,CODIGOS!A:A,CODIGOS!D:D),""))</f>
        <v/>
      </c>
      <c r="J441" s="35" t="str">
        <f>IFERROR(LOOKUP(D441,SOCIO!B:B,SOCIO!C:C)," ")</f>
        <v xml:space="preserve"> </v>
      </c>
    </row>
    <row r="442" spans="1:10">
      <c r="A442" s="83" t="str">
        <f t="shared" si="6"/>
        <v xml:space="preserve"> </v>
      </c>
      <c r="C442" s="63" t="str">
        <f>IFERROR(LOOKUP(D442,SOCIO!B:B,SOCIO!A:A),"")</f>
        <v/>
      </c>
      <c r="F442" s="67" t="str">
        <f>IFERROR(LOOKUP(E442,CODIGOS!A:A,CODIGOS!B:B)," ")</f>
        <v xml:space="preserve"> </v>
      </c>
      <c r="H442" s="74" t="str">
        <f>IF(J442="SI",IFERROR(LOOKUP(E442,CODIGOS!A:A,CODIGOS!C:C)," "),IFERROR(LOOKUP(E442,CODIGOS!A:A,CODIGOS!D:D),""))</f>
        <v/>
      </c>
      <c r="J442" s="35" t="str">
        <f>IFERROR(LOOKUP(D442,SOCIO!B:B,SOCIO!C:C)," ")</f>
        <v xml:space="preserve"> </v>
      </c>
    </row>
    <row r="443" spans="1:10">
      <c r="A443" s="83" t="str">
        <f t="shared" si="6"/>
        <v xml:space="preserve"> </v>
      </c>
      <c r="C443" s="63" t="str">
        <f>IFERROR(LOOKUP(D443,SOCIO!B:B,SOCIO!A:A),"")</f>
        <v/>
      </c>
      <c r="F443" s="67" t="str">
        <f>IFERROR(LOOKUP(E443,CODIGOS!A:A,CODIGOS!B:B)," ")</f>
        <v xml:space="preserve"> </v>
      </c>
      <c r="H443" s="74" t="str">
        <f>IF(J443="SI",IFERROR(LOOKUP(E443,CODIGOS!A:A,CODIGOS!C:C)," "),IFERROR(LOOKUP(E443,CODIGOS!A:A,CODIGOS!D:D),""))</f>
        <v/>
      </c>
      <c r="J443" s="35" t="str">
        <f>IFERROR(LOOKUP(D443,SOCIO!B:B,SOCIO!C:C)," ")</f>
        <v xml:space="preserve"> </v>
      </c>
    </row>
    <row r="444" spans="1:10">
      <c r="A444" s="83" t="str">
        <f t="shared" si="6"/>
        <v xml:space="preserve"> </v>
      </c>
      <c r="C444" s="63" t="str">
        <f>IFERROR(LOOKUP(D444,SOCIO!B:B,SOCIO!A:A),"")</f>
        <v/>
      </c>
      <c r="F444" s="67" t="str">
        <f>IFERROR(LOOKUP(E444,CODIGOS!A:A,CODIGOS!B:B)," ")</f>
        <v xml:space="preserve"> </v>
      </c>
      <c r="H444" s="74" t="str">
        <f>IF(J444="SI",IFERROR(LOOKUP(E444,CODIGOS!A:A,CODIGOS!C:C)," "),IFERROR(LOOKUP(E444,CODIGOS!A:A,CODIGOS!D:D),""))</f>
        <v/>
      </c>
      <c r="J444" s="35" t="str">
        <f>IFERROR(LOOKUP(D444,SOCIO!B:B,SOCIO!C:C)," ")</f>
        <v xml:space="preserve"> </v>
      </c>
    </row>
    <row r="445" spans="1:10">
      <c r="A445" s="83" t="str">
        <f t="shared" si="6"/>
        <v xml:space="preserve"> </v>
      </c>
      <c r="C445" s="63" t="str">
        <f>IFERROR(LOOKUP(D445,SOCIO!B:B,SOCIO!A:A),"")</f>
        <v/>
      </c>
      <c r="F445" s="67" t="str">
        <f>IFERROR(LOOKUP(E445,CODIGOS!A:A,CODIGOS!B:B)," ")</f>
        <v xml:space="preserve"> </v>
      </c>
      <c r="H445" s="74" t="str">
        <f>IF(J445="SI",IFERROR(LOOKUP(E445,CODIGOS!A:A,CODIGOS!C:C)," "),IFERROR(LOOKUP(E445,CODIGOS!A:A,CODIGOS!D:D),""))</f>
        <v/>
      </c>
      <c r="J445" s="35" t="str">
        <f>IFERROR(LOOKUP(D445,SOCIO!B:B,SOCIO!C:C)," ")</f>
        <v xml:space="preserve"> </v>
      </c>
    </row>
    <row r="446" spans="1:10">
      <c r="A446" s="83" t="str">
        <f t="shared" si="6"/>
        <v xml:space="preserve"> </v>
      </c>
      <c r="C446" s="63" t="str">
        <f>IFERROR(LOOKUP(D446,SOCIO!B:B,SOCIO!A:A),"")</f>
        <v/>
      </c>
      <c r="F446" s="67" t="str">
        <f>IFERROR(LOOKUP(E446,CODIGOS!A:A,CODIGOS!B:B)," ")</f>
        <v xml:space="preserve"> </v>
      </c>
      <c r="H446" s="74" t="str">
        <f>IF(J446="SI",IFERROR(LOOKUP(E446,CODIGOS!A:A,CODIGOS!C:C)," "),IFERROR(LOOKUP(E446,CODIGOS!A:A,CODIGOS!D:D),""))</f>
        <v/>
      </c>
      <c r="J446" s="35" t="str">
        <f>IFERROR(LOOKUP(D446,SOCIO!B:B,SOCIO!C:C)," ")</f>
        <v xml:space="preserve"> </v>
      </c>
    </row>
    <row r="447" spans="1:10">
      <c r="A447" s="83" t="str">
        <f t="shared" si="6"/>
        <v xml:space="preserve"> </v>
      </c>
      <c r="C447" s="63" t="str">
        <f>IFERROR(LOOKUP(D447,SOCIO!B:B,SOCIO!A:A),"")</f>
        <v/>
      </c>
      <c r="F447" s="67" t="str">
        <f>IFERROR(LOOKUP(E447,CODIGOS!A:A,CODIGOS!B:B)," ")</f>
        <v xml:space="preserve"> </v>
      </c>
      <c r="H447" s="74" t="str">
        <f>IF(J447="SI",IFERROR(LOOKUP(E447,CODIGOS!A:A,CODIGOS!C:C)," "),IFERROR(LOOKUP(E447,CODIGOS!A:A,CODIGOS!D:D),""))</f>
        <v/>
      </c>
      <c r="J447" s="35" t="str">
        <f>IFERROR(LOOKUP(D447,SOCIO!B:B,SOCIO!C:C)," ")</f>
        <v xml:space="preserve"> </v>
      </c>
    </row>
    <row r="448" spans="1:10">
      <c r="A448" s="83" t="str">
        <f t="shared" si="6"/>
        <v xml:space="preserve"> </v>
      </c>
      <c r="C448" s="63" t="str">
        <f>IFERROR(LOOKUP(D448,SOCIO!B:B,SOCIO!A:A),"")</f>
        <v/>
      </c>
      <c r="F448" s="67" t="str">
        <f>IFERROR(LOOKUP(E448,CODIGOS!A:A,CODIGOS!B:B)," ")</f>
        <v xml:space="preserve"> </v>
      </c>
      <c r="H448" s="74" t="str">
        <f>IF(J448="SI",IFERROR(LOOKUP(E448,CODIGOS!A:A,CODIGOS!C:C)," "),IFERROR(LOOKUP(E448,CODIGOS!A:A,CODIGOS!D:D),""))</f>
        <v/>
      </c>
      <c r="J448" s="35" t="str">
        <f>IFERROR(LOOKUP(D448,SOCIO!B:B,SOCIO!C:C)," ")</f>
        <v xml:space="preserve"> </v>
      </c>
    </row>
    <row r="449" spans="1:10">
      <c r="A449" s="83" t="str">
        <f t="shared" si="6"/>
        <v xml:space="preserve"> </v>
      </c>
      <c r="C449" s="63" t="str">
        <f>IFERROR(LOOKUP(D449,SOCIO!B:B,SOCIO!A:A),"")</f>
        <v/>
      </c>
      <c r="F449" s="67" t="str">
        <f>IFERROR(LOOKUP(E449,CODIGOS!A:A,CODIGOS!B:B)," ")</f>
        <v xml:space="preserve"> </v>
      </c>
      <c r="H449" s="74" t="str">
        <f>IF(J449="SI",IFERROR(LOOKUP(E449,CODIGOS!A:A,CODIGOS!C:C)," "),IFERROR(LOOKUP(E449,CODIGOS!A:A,CODIGOS!D:D),""))</f>
        <v/>
      </c>
      <c r="J449" s="35" t="str">
        <f>IFERROR(LOOKUP(D449,SOCIO!B:B,SOCIO!C:C)," ")</f>
        <v xml:space="preserve"> </v>
      </c>
    </row>
    <row r="450" spans="1:10">
      <c r="A450" s="83" t="str">
        <f t="shared" ref="A450:A513" si="7">IF(B450&lt;&gt;0,A449+1," ")</f>
        <v xml:space="preserve"> </v>
      </c>
      <c r="C450" s="63" t="str">
        <f>IFERROR(LOOKUP(D450,SOCIO!B:B,SOCIO!A:A),"")</f>
        <v/>
      </c>
      <c r="F450" s="67" t="str">
        <f>IFERROR(LOOKUP(E450,CODIGOS!A:A,CODIGOS!B:B)," ")</f>
        <v xml:space="preserve"> </v>
      </c>
      <c r="H450" s="74" t="str">
        <f>IF(J450="SI",IFERROR(LOOKUP(E450,CODIGOS!A:A,CODIGOS!C:C)," "),IFERROR(LOOKUP(E450,CODIGOS!A:A,CODIGOS!D:D),""))</f>
        <v/>
      </c>
      <c r="J450" s="35" t="str">
        <f>IFERROR(LOOKUP(D450,SOCIO!B:B,SOCIO!C:C)," ")</f>
        <v xml:space="preserve"> </v>
      </c>
    </row>
    <row r="451" spans="1:10">
      <c r="A451" s="83" t="str">
        <f t="shared" si="7"/>
        <v xml:space="preserve"> </v>
      </c>
      <c r="C451" s="63" t="str">
        <f>IFERROR(LOOKUP(D451,SOCIO!B:B,SOCIO!A:A),"")</f>
        <v/>
      </c>
      <c r="F451" s="67" t="str">
        <f>IFERROR(LOOKUP(E451,CODIGOS!A:A,CODIGOS!B:B)," ")</f>
        <v xml:space="preserve"> </v>
      </c>
      <c r="H451" s="74" t="str">
        <f>IF(J451="SI",IFERROR(LOOKUP(E451,CODIGOS!A:A,CODIGOS!C:C)," "),IFERROR(LOOKUP(E451,CODIGOS!A:A,CODIGOS!D:D),""))</f>
        <v/>
      </c>
      <c r="J451" s="35" t="str">
        <f>IFERROR(LOOKUP(D451,SOCIO!B:B,SOCIO!C:C)," ")</f>
        <v xml:space="preserve"> </v>
      </c>
    </row>
    <row r="452" spans="1:10">
      <c r="A452" s="83" t="str">
        <f t="shared" si="7"/>
        <v xml:space="preserve"> </v>
      </c>
      <c r="C452" s="63" t="str">
        <f>IFERROR(LOOKUP(D452,SOCIO!B:B,SOCIO!A:A),"")</f>
        <v/>
      </c>
      <c r="F452" s="67" t="str">
        <f>IFERROR(LOOKUP(E452,CODIGOS!A:A,CODIGOS!B:B)," ")</f>
        <v xml:space="preserve"> </v>
      </c>
      <c r="H452" s="74" t="str">
        <f>IF(J452="SI",IFERROR(LOOKUP(E452,CODIGOS!A:A,CODIGOS!C:C)," "),IFERROR(LOOKUP(E452,CODIGOS!A:A,CODIGOS!D:D),""))</f>
        <v/>
      </c>
      <c r="J452" s="35" t="str">
        <f>IFERROR(LOOKUP(D452,SOCIO!B:B,SOCIO!C:C)," ")</f>
        <v xml:space="preserve"> </v>
      </c>
    </row>
    <row r="453" spans="1:10">
      <c r="A453" s="83" t="str">
        <f t="shared" si="7"/>
        <v xml:space="preserve"> </v>
      </c>
      <c r="C453" s="63" t="str">
        <f>IFERROR(LOOKUP(D453,SOCIO!B:B,SOCIO!A:A),"")</f>
        <v/>
      </c>
      <c r="F453" s="67" t="str">
        <f>IFERROR(LOOKUP(E453,CODIGOS!A:A,CODIGOS!B:B)," ")</f>
        <v xml:space="preserve"> </v>
      </c>
      <c r="H453" s="74" t="str">
        <f>IF(J453="SI",IFERROR(LOOKUP(E453,CODIGOS!A:A,CODIGOS!C:C)," "),IFERROR(LOOKUP(E453,CODIGOS!A:A,CODIGOS!D:D),""))</f>
        <v/>
      </c>
      <c r="J453" s="35" t="str">
        <f>IFERROR(LOOKUP(D453,SOCIO!B:B,SOCIO!C:C)," ")</f>
        <v xml:space="preserve"> </v>
      </c>
    </row>
    <row r="454" spans="1:10">
      <c r="A454" s="83" t="str">
        <f t="shared" si="7"/>
        <v xml:space="preserve"> </v>
      </c>
      <c r="C454" s="63" t="str">
        <f>IFERROR(LOOKUP(D454,SOCIO!B:B,SOCIO!A:A),"")</f>
        <v/>
      </c>
      <c r="F454" s="67" t="str">
        <f>IFERROR(LOOKUP(E454,CODIGOS!A:A,CODIGOS!B:B)," ")</f>
        <v xml:space="preserve"> </v>
      </c>
      <c r="H454" s="74" t="str">
        <f>IF(J454="SI",IFERROR(LOOKUP(E454,CODIGOS!A:A,CODIGOS!C:C)," "),IFERROR(LOOKUP(E454,CODIGOS!A:A,CODIGOS!D:D),""))</f>
        <v/>
      </c>
      <c r="J454" s="35" t="str">
        <f>IFERROR(LOOKUP(D454,SOCIO!B:B,SOCIO!C:C)," ")</f>
        <v xml:space="preserve"> </v>
      </c>
    </row>
    <row r="455" spans="1:10">
      <c r="A455" s="83" t="str">
        <f t="shared" si="7"/>
        <v xml:space="preserve"> </v>
      </c>
      <c r="C455" s="63" t="str">
        <f>IFERROR(LOOKUP(D455,SOCIO!B:B,SOCIO!A:A),"")</f>
        <v/>
      </c>
      <c r="F455" s="67" t="str">
        <f>IFERROR(LOOKUP(E455,CODIGOS!A:A,CODIGOS!B:B)," ")</f>
        <v xml:space="preserve"> </v>
      </c>
      <c r="H455" s="74" t="str">
        <f>IF(J455="SI",IFERROR(LOOKUP(E455,CODIGOS!A:A,CODIGOS!C:C)," "),IFERROR(LOOKUP(E455,CODIGOS!A:A,CODIGOS!D:D),""))</f>
        <v/>
      </c>
      <c r="J455" s="35" t="str">
        <f>IFERROR(LOOKUP(D455,SOCIO!B:B,SOCIO!C:C)," ")</f>
        <v xml:space="preserve"> </v>
      </c>
    </row>
    <row r="456" spans="1:10">
      <c r="A456" s="83" t="str">
        <f t="shared" si="7"/>
        <v xml:space="preserve"> </v>
      </c>
      <c r="C456" s="63" t="str">
        <f>IFERROR(LOOKUP(D456,SOCIO!B:B,SOCIO!A:A),"")</f>
        <v/>
      </c>
      <c r="F456" s="67" t="str">
        <f>IFERROR(LOOKUP(E456,CODIGOS!A:A,CODIGOS!B:B)," ")</f>
        <v xml:space="preserve"> </v>
      </c>
      <c r="H456" s="74" t="str">
        <f>IF(J456="SI",IFERROR(LOOKUP(E456,CODIGOS!A:A,CODIGOS!C:C)," "),IFERROR(LOOKUP(E456,CODIGOS!A:A,CODIGOS!D:D),""))</f>
        <v/>
      </c>
      <c r="J456" s="35" t="str">
        <f>IFERROR(LOOKUP(D456,SOCIO!B:B,SOCIO!C:C)," ")</f>
        <v xml:space="preserve"> </v>
      </c>
    </row>
    <row r="457" spans="1:10">
      <c r="A457" s="83" t="str">
        <f t="shared" si="7"/>
        <v xml:space="preserve"> </v>
      </c>
      <c r="C457" s="63" t="str">
        <f>IFERROR(LOOKUP(D457,SOCIO!B:B,SOCIO!A:A),"")</f>
        <v/>
      </c>
      <c r="F457" s="67" t="str">
        <f>IFERROR(LOOKUP(E457,CODIGOS!A:A,CODIGOS!B:B)," ")</f>
        <v xml:space="preserve"> </v>
      </c>
      <c r="H457" s="74" t="str">
        <f>IF(J457="SI",IFERROR(LOOKUP(E457,CODIGOS!A:A,CODIGOS!C:C)," "),IFERROR(LOOKUP(E457,CODIGOS!A:A,CODIGOS!D:D),""))</f>
        <v/>
      </c>
      <c r="J457" s="35" t="str">
        <f>IFERROR(LOOKUP(D457,SOCIO!B:B,SOCIO!C:C)," ")</f>
        <v xml:space="preserve"> </v>
      </c>
    </row>
    <row r="458" spans="1:10">
      <c r="A458" s="83" t="str">
        <f t="shared" si="7"/>
        <v xml:space="preserve"> </v>
      </c>
      <c r="C458" s="63" t="str">
        <f>IFERROR(LOOKUP(D458,SOCIO!B:B,SOCIO!A:A),"")</f>
        <v/>
      </c>
      <c r="F458" s="67" t="str">
        <f>IFERROR(LOOKUP(E458,CODIGOS!A:A,CODIGOS!B:B)," ")</f>
        <v xml:space="preserve"> </v>
      </c>
      <c r="H458" s="74" t="str">
        <f>IF(J458="SI",IFERROR(LOOKUP(E458,CODIGOS!A:A,CODIGOS!C:C)," "),IFERROR(LOOKUP(E458,CODIGOS!A:A,CODIGOS!D:D),""))</f>
        <v/>
      </c>
      <c r="J458" s="35" t="str">
        <f>IFERROR(LOOKUP(D458,SOCIO!B:B,SOCIO!C:C)," ")</f>
        <v xml:space="preserve"> </v>
      </c>
    </row>
    <row r="459" spans="1:10">
      <c r="A459" s="83" t="str">
        <f t="shared" si="7"/>
        <v xml:space="preserve"> </v>
      </c>
      <c r="C459" s="63" t="str">
        <f>IFERROR(LOOKUP(D459,SOCIO!B:B,SOCIO!A:A),"")</f>
        <v/>
      </c>
      <c r="F459" s="67" t="str">
        <f>IFERROR(LOOKUP(E459,CODIGOS!A:A,CODIGOS!B:B)," ")</f>
        <v xml:space="preserve"> </v>
      </c>
      <c r="H459" s="74" t="str">
        <f>IF(J459="SI",IFERROR(LOOKUP(E459,CODIGOS!A:A,CODIGOS!C:C)," "),IFERROR(LOOKUP(E459,CODIGOS!A:A,CODIGOS!D:D),""))</f>
        <v/>
      </c>
      <c r="J459" s="35" t="str">
        <f>IFERROR(LOOKUP(D459,SOCIO!B:B,SOCIO!C:C)," ")</f>
        <v xml:space="preserve"> </v>
      </c>
    </row>
    <row r="460" spans="1:10">
      <c r="A460" s="83" t="str">
        <f t="shared" si="7"/>
        <v xml:space="preserve"> </v>
      </c>
      <c r="C460" s="63" t="str">
        <f>IFERROR(LOOKUP(D460,SOCIO!B:B,SOCIO!A:A),"")</f>
        <v/>
      </c>
      <c r="F460" s="67" t="str">
        <f>IFERROR(LOOKUP(E460,CODIGOS!A:A,CODIGOS!B:B)," ")</f>
        <v xml:space="preserve"> </v>
      </c>
      <c r="H460" s="74" t="str">
        <f>IF(J460="SI",IFERROR(LOOKUP(E460,CODIGOS!A:A,CODIGOS!C:C)," "),IFERROR(LOOKUP(E460,CODIGOS!A:A,CODIGOS!D:D),""))</f>
        <v/>
      </c>
      <c r="J460" s="35" t="str">
        <f>IFERROR(LOOKUP(D460,SOCIO!B:B,SOCIO!C:C)," ")</f>
        <v xml:space="preserve"> </v>
      </c>
    </row>
    <row r="461" spans="1:10">
      <c r="A461" s="83" t="str">
        <f t="shared" si="7"/>
        <v xml:space="preserve"> </v>
      </c>
      <c r="C461" s="63" t="str">
        <f>IFERROR(LOOKUP(D461,SOCIO!B:B,SOCIO!A:A),"")</f>
        <v/>
      </c>
      <c r="F461" s="67" t="str">
        <f>IFERROR(LOOKUP(E461,CODIGOS!A:A,CODIGOS!B:B)," ")</f>
        <v xml:space="preserve"> </v>
      </c>
      <c r="H461" s="74" t="str">
        <f>IF(J461="SI",IFERROR(LOOKUP(E461,CODIGOS!A:A,CODIGOS!C:C)," "),IFERROR(LOOKUP(E461,CODIGOS!A:A,CODIGOS!D:D),""))</f>
        <v/>
      </c>
      <c r="J461" s="35" t="str">
        <f>IFERROR(LOOKUP(D461,SOCIO!B:B,SOCIO!C:C)," ")</f>
        <v xml:space="preserve"> </v>
      </c>
    </row>
    <row r="462" spans="1:10">
      <c r="A462" s="83" t="str">
        <f t="shared" si="7"/>
        <v xml:space="preserve"> </v>
      </c>
      <c r="C462" s="63" t="str">
        <f>IFERROR(LOOKUP(D462,SOCIO!B:B,SOCIO!A:A),"")</f>
        <v/>
      </c>
      <c r="F462" s="67" t="str">
        <f>IFERROR(LOOKUP(E462,CODIGOS!A:A,CODIGOS!B:B)," ")</f>
        <v xml:space="preserve"> </v>
      </c>
      <c r="H462" s="74" t="str">
        <f>IF(J462="SI",IFERROR(LOOKUP(E462,CODIGOS!A:A,CODIGOS!C:C)," "),IFERROR(LOOKUP(E462,CODIGOS!A:A,CODIGOS!D:D),""))</f>
        <v/>
      </c>
      <c r="J462" s="35" t="str">
        <f>IFERROR(LOOKUP(D462,SOCIO!B:B,SOCIO!C:C)," ")</f>
        <v xml:space="preserve"> </v>
      </c>
    </row>
    <row r="463" spans="1:10">
      <c r="A463" s="83" t="str">
        <f t="shared" si="7"/>
        <v xml:space="preserve"> </v>
      </c>
      <c r="C463" s="63" t="str">
        <f>IFERROR(LOOKUP(D463,SOCIO!B:B,SOCIO!A:A),"")</f>
        <v/>
      </c>
      <c r="F463" s="67" t="str">
        <f>IFERROR(LOOKUP(E463,CODIGOS!A:A,CODIGOS!B:B)," ")</f>
        <v xml:space="preserve"> </v>
      </c>
      <c r="H463" s="74" t="str">
        <f>IF(J463="SI",IFERROR(LOOKUP(E463,CODIGOS!A:A,CODIGOS!C:C)," "),IFERROR(LOOKUP(E463,CODIGOS!A:A,CODIGOS!D:D),""))</f>
        <v/>
      </c>
      <c r="J463" s="35" t="str">
        <f>IFERROR(LOOKUP(D463,SOCIO!B:B,SOCIO!C:C)," ")</f>
        <v xml:space="preserve"> </v>
      </c>
    </row>
    <row r="464" spans="1:10">
      <c r="A464" s="83" t="str">
        <f t="shared" si="7"/>
        <v xml:space="preserve"> </v>
      </c>
      <c r="C464" s="63" t="str">
        <f>IFERROR(LOOKUP(D464,SOCIO!B:B,SOCIO!A:A),"")</f>
        <v/>
      </c>
      <c r="F464" s="67" t="str">
        <f>IFERROR(LOOKUP(E464,CODIGOS!A:A,CODIGOS!B:B)," ")</f>
        <v xml:space="preserve"> </v>
      </c>
      <c r="H464" s="74" t="str">
        <f>IF(J464="SI",IFERROR(LOOKUP(E464,CODIGOS!A:A,CODIGOS!C:C)," "),IFERROR(LOOKUP(E464,CODIGOS!A:A,CODIGOS!D:D),""))</f>
        <v/>
      </c>
      <c r="J464" s="35" t="str">
        <f>IFERROR(LOOKUP(D464,SOCIO!B:B,SOCIO!C:C)," ")</f>
        <v xml:space="preserve"> </v>
      </c>
    </row>
    <row r="465" spans="1:10">
      <c r="A465" s="83" t="str">
        <f t="shared" si="7"/>
        <v xml:space="preserve"> </v>
      </c>
      <c r="C465" s="63" t="str">
        <f>IFERROR(LOOKUP(D465,SOCIO!B:B,SOCIO!A:A),"")</f>
        <v/>
      </c>
      <c r="F465" s="67" t="str">
        <f>IFERROR(LOOKUP(E465,CODIGOS!A:A,CODIGOS!B:B)," ")</f>
        <v xml:space="preserve"> </v>
      </c>
      <c r="H465" s="74" t="str">
        <f>IF(J465="SI",IFERROR(LOOKUP(E465,CODIGOS!A:A,CODIGOS!C:C)," "),IFERROR(LOOKUP(E465,CODIGOS!A:A,CODIGOS!D:D),""))</f>
        <v/>
      </c>
      <c r="J465" s="35" t="str">
        <f>IFERROR(LOOKUP(D465,SOCIO!B:B,SOCIO!C:C)," ")</f>
        <v xml:space="preserve"> </v>
      </c>
    </row>
    <row r="466" spans="1:10">
      <c r="A466" s="83" t="str">
        <f t="shared" si="7"/>
        <v xml:space="preserve"> </v>
      </c>
      <c r="C466" s="63" t="str">
        <f>IFERROR(LOOKUP(D466,SOCIO!B:B,SOCIO!A:A),"")</f>
        <v/>
      </c>
      <c r="F466" s="67" t="str">
        <f>IFERROR(LOOKUP(E466,CODIGOS!A:A,CODIGOS!B:B)," ")</f>
        <v xml:space="preserve"> </v>
      </c>
      <c r="H466" s="74" t="str">
        <f>IF(J466="SI",IFERROR(LOOKUP(E466,CODIGOS!A:A,CODIGOS!C:C)," "),IFERROR(LOOKUP(E466,CODIGOS!A:A,CODIGOS!D:D),""))</f>
        <v/>
      </c>
      <c r="J466" s="35" t="str">
        <f>IFERROR(LOOKUP(D466,SOCIO!B:B,SOCIO!C:C)," ")</f>
        <v xml:space="preserve"> </v>
      </c>
    </row>
    <row r="467" spans="1:10">
      <c r="A467" s="83" t="str">
        <f t="shared" si="7"/>
        <v xml:space="preserve"> </v>
      </c>
      <c r="C467" s="63" t="str">
        <f>IFERROR(LOOKUP(D467,SOCIO!B:B,SOCIO!A:A),"")</f>
        <v/>
      </c>
      <c r="F467" s="67" t="str">
        <f>IFERROR(LOOKUP(E467,CODIGOS!A:A,CODIGOS!B:B)," ")</f>
        <v xml:space="preserve"> </v>
      </c>
      <c r="H467" s="74" t="str">
        <f>IF(J467="SI",IFERROR(LOOKUP(E467,CODIGOS!A:A,CODIGOS!C:C)," "),IFERROR(LOOKUP(E467,CODIGOS!A:A,CODIGOS!D:D),""))</f>
        <v/>
      </c>
      <c r="J467" s="35" t="str">
        <f>IFERROR(LOOKUP(D467,SOCIO!B:B,SOCIO!C:C)," ")</f>
        <v xml:space="preserve"> </v>
      </c>
    </row>
    <row r="468" spans="1:10">
      <c r="A468" s="83" t="str">
        <f t="shared" si="7"/>
        <v xml:space="preserve"> </v>
      </c>
      <c r="C468" s="63" t="str">
        <f>IFERROR(LOOKUP(D468,SOCIO!B:B,SOCIO!A:A),"")</f>
        <v/>
      </c>
      <c r="F468" s="67" t="str">
        <f>IFERROR(LOOKUP(E468,CODIGOS!A:A,CODIGOS!B:B)," ")</f>
        <v xml:space="preserve"> </v>
      </c>
      <c r="H468" s="74" t="str">
        <f>IF(J468="SI",IFERROR(LOOKUP(E468,CODIGOS!A:A,CODIGOS!C:C)," "),IFERROR(LOOKUP(E468,CODIGOS!A:A,CODIGOS!D:D),""))</f>
        <v/>
      </c>
      <c r="J468" s="35" t="str">
        <f>IFERROR(LOOKUP(D468,SOCIO!B:B,SOCIO!C:C)," ")</f>
        <v xml:space="preserve"> </v>
      </c>
    </row>
    <row r="469" spans="1:10">
      <c r="A469" s="83" t="str">
        <f t="shared" si="7"/>
        <v xml:space="preserve"> </v>
      </c>
      <c r="C469" s="63" t="str">
        <f>IFERROR(LOOKUP(D469,SOCIO!B:B,SOCIO!A:A),"")</f>
        <v/>
      </c>
      <c r="F469" s="67" t="str">
        <f>IFERROR(LOOKUP(E469,CODIGOS!A:A,CODIGOS!B:B)," ")</f>
        <v xml:space="preserve"> </v>
      </c>
      <c r="H469" s="74" t="str">
        <f>IF(J469="SI",IFERROR(LOOKUP(E469,CODIGOS!A:A,CODIGOS!C:C)," "),IFERROR(LOOKUP(E469,CODIGOS!A:A,CODIGOS!D:D),""))</f>
        <v/>
      </c>
      <c r="J469" s="35" t="str">
        <f>IFERROR(LOOKUP(D469,SOCIO!B:B,SOCIO!C:C)," ")</f>
        <v xml:space="preserve"> </v>
      </c>
    </row>
    <row r="470" spans="1:10">
      <c r="A470" s="83" t="str">
        <f t="shared" si="7"/>
        <v xml:space="preserve"> </v>
      </c>
      <c r="C470" s="63" t="str">
        <f>IFERROR(LOOKUP(D470,SOCIO!B:B,SOCIO!A:A),"")</f>
        <v/>
      </c>
      <c r="F470" s="67" t="str">
        <f>IFERROR(LOOKUP(E470,CODIGOS!A:A,CODIGOS!B:B)," ")</f>
        <v xml:space="preserve"> </v>
      </c>
      <c r="H470" s="74" t="str">
        <f>IF(J470="SI",IFERROR(LOOKUP(E470,CODIGOS!A:A,CODIGOS!C:C)," "),IFERROR(LOOKUP(E470,CODIGOS!A:A,CODIGOS!D:D),""))</f>
        <v/>
      </c>
      <c r="J470" s="35" t="str">
        <f>IFERROR(LOOKUP(D470,SOCIO!B:B,SOCIO!C:C)," ")</f>
        <v xml:space="preserve"> </v>
      </c>
    </row>
    <row r="471" spans="1:10">
      <c r="A471" s="83" t="str">
        <f t="shared" si="7"/>
        <v xml:space="preserve"> </v>
      </c>
      <c r="C471" s="63" t="str">
        <f>IFERROR(LOOKUP(D471,SOCIO!B:B,SOCIO!A:A),"")</f>
        <v/>
      </c>
      <c r="F471" s="67" t="str">
        <f>IFERROR(LOOKUP(E471,CODIGOS!A:A,CODIGOS!B:B)," ")</f>
        <v xml:space="preserve"> </v>
      </c>
      <c r="H471" s="74" t="str">
        <f>IF(J471="SI",IFERROR(LOOKUP(E471,CODIGOS!A:A,CODIGOS!C:C)," "),IFERROR(LOOKUP(E471,CODIGOS!A:A,CODIGOS!D:D),""))</f>
        <v/>
      </c>
      <c r="J471" s="35" t="str">
        <f>IFERROR(LOOKUP(D471,SOCIO!B:B,SOCIO!C:C)," ")</f>
        <v xml:space="preserve"> </v>
      </c>
    </row>
    <row r="472" spans="1:10">
      <c r="A472" s="83" t="str">
        <f t="shared" si="7"/>
        <v xml:space="preserve"> </v>
      </c>
      <c r="C472" s="63" t="str">
        <f>IFERROR(LOOKUP(D472,SOCIO!B:B,SOCIO!A:A),"")</f>
        <v/>
      </c>
      <c r="F472" s="67" t="str">
        <f>IFERROR(LOOKUP(E472,CODIGOS!A:A,CODIGOS!B:B)," ")</f>
        <v xml:space="preserve"> </v>
      </c>
      <c r="H472" s="74" t="str">
        <f>IF(J472="SI",IFERROR(LOOKUP(E472,CODIGOS!A:A,CODIGOS!C:C)," "),IFERROR(LOOKUP(E472,CODIGOS!A:A,CODIGOS!D:D),""))</f>
        <v/>
      </c>
      <c r="J472" s="35" t="str">
        <f>IFERROR(LOOKUP(D472,SOCIO!B:B,SOCIO!C:C)," ")</f>
        <v xml:space="preserve"> </v>
      </c>
    </row>
    <row r="473" spans="1:10">
      <c r="A473" s="83" t="str">
        <f t="shared" si="7"/>
        <v xml:space="preserve"> </v>
      </c>
      <c r="C473" s="63" t="str">
        <f>IFERROR(LOOKUP(D473,SOCIO!B:B,SOCIO!A:A),"")</f>
        <v/>
      </c>
      <c r="F473" s="67" t="str">
        <f>IFERROR(LOOKUP(E473,CODIGOS!A:A,CODIGOS!B:B)," ")</f>
        <v xml:space="preserve"> </v>
      </c>
      <c r="H473" s="74" t="str">
        <f>IF(J473="SI",IFERROR(LOOKUP(E473,CODIGOS!A:A,CODIGOS!C:C)," "),IFERROR(LOOKUP(E473,CODIGOS!A:A,CODIGOS!D:D),""))</f>
        <v/>
      </c>
      <c r="J473" s="35" t="str">
        <f>IFERROR(LOOKUP(D473,SOCIO!B:B,SOCIO!C:C)," ")</f>
        <v xml:space="preserve"> </v>
      </c>
    </row>
    <row r="474" spans="1:10">
      <c r="A474" s="83" t="str">
        <f t="shared" si="7"/>
        <v xml:space="preserve"> </v>
      </c>
      <c r="C474" s="63" t="str">
        <f>IFERROR(LOOKUP(D474,SOCIO!B:B,SOCIO!A:A),"")</f>
        <v/>
      </c>
      <c r="F474" s="67" t="str">
        <f>IFERROR(LOOKUP(E474,CODIGOS!A:A,CODIGOS!B:B)," ")</f>
        <v xml:space="preserve"> </v>
      </c>
      <c r="H474" s="74" t="str">
        <f>IF(J474="SI",IFERROR(LOOKUP(E474,CODIGOS!A:A,CODIGOS!C:C)," "),IFERROR(LOOKUP(E474,CODIGOS!A:A,CODIGOS!D:D),""))</f>
        <v/>
      </c>
      <c r="J474" s="35" t="str">
        <f>IFERROR(LOOKUP(D474,SOCIO!B:B,SOCIO!C:C)," ")</f>
        <v xml:space="preserve"> </v>
      </c>
    </row>
    <row r="475" spans="1:10">
      <c r="A475" s="83" t="str">
        <f t="shared" si="7"/>
        <v xml:space="preserve"> </v>
      </c>
      <c r="C475" s="63" t="str">
        <f>IFERROR(LOOKUP(D475,SOCIO!B:B,SOCIO!A:A),"")</f>
        <v/>
      </c>
      <c r="F475" s="67" t="str">
        <f>IFERROR(LOOKUP(E475,CODIGOS!A:A,CODIGOS!B:B)," ")</f>
        <v xml:space="preserve"> </v>
      </c>
      <c r="H475" s="74" t="str">
        <f>IF(J475="SI",IFERROR(LOOKUP(E475,CODIGOS!A:A,CODIGOS!C:C)," "),IFERROR(LOOKUP(E475,CODIGOS!A:A,CODIGOS!D:D),""))</f>
        <v/>
      </c>
      <c r="J475" s="35" t="str">
        <f>IFERROR(LOOKUP(D475,SOCIO!B:B,SOCIO!C:C)," ")</f>
        <v xml:space="preserve"> </v>
      </c>
    </row>
    <row r="476" spans="1:10">
      <c r="A476" s="83" t="str">
        <f t="shared" si="7"/>
        <v xml:space="preserve"> </v>
      </c>
      <c r="C476" s="63" t="str">
        <f>IFERROR(LOOKUP(D476,SOCIO!B:B,SOCIO!A:A),"")</f>
        <v/>
      </c>
      <c r="F476" s="67" t="str">
        <f>IFERROR(LOOKUP(E476,CODIGOS!A:A,CODIGOS!B:B)," ")</f>
        <v xml:space="preserve"> </v>
      </c>
      <c r="H476" s="74" t="str">
        <f>IF(J476="SI",IFERROR(LOOKUP(E476,CODIGOS!A:A,CODIGOS!C:C)," "),IFERROR(LOOKUP(E476,CODIGOS!A:A,CODIGOS!D:D),""))</f>
        <v/>
      </c>
      <c r="J476" s="35" t="str">
        <f>IFERROR(LOOKUP(D476,SOCIO!B:B,SOCIO!C:C)," ")</f>
        <v xml:space="preserve"> </v>
      </c>
    </row>
    <row r="477" spans="1:10">
      <c r="A477" s="83" t="str">
        <f t="shared" si="7"/>
        <v xml:space="preserve"> </v>
      </c>
      <c r="C477" s="63" t="str">
        <f>IFERROR(LOOKUP(D477,SOCIO!B:B,SOCIO!A:A),"")</f>
        <v/>
      </c>
      <c r="F477" s="67" t="str">
        <f>IFERROR(LOOKUP(E477,CODIGOS!A:A,CODIGOS!B:B)," ")</f>
        <v xml:space="preserve"> </v>
      </c>
      <c r="H477" s="74" t="str">
        <f>IF(J477="SI",IFERROR(LOOKUP(E477,CODIGOS!A:A,CODIGOS!C:C)," "),IFERROR(LOOKUP(E477,CODIGOS!A:A,CODIGOS!D:D),""))</f>
        <v/>
      </c>
      <c r="J477" s="35" t="str">
        <f>IFERROR(LOOKUP(D477,SOCIO!B:B,SOCIO!C:C)," ")</f>
        <v xml:space="preserve"> </v>
      </c>
    </row>
    <row r="478" spans="1:10">
      <c r="A478" s="83" t="str">
        <f t="shared" si="7"/>
        <v xml:space="preserve"> </v>
      </c>
      <c r="C478" s="63" t="str">
        <f>IFERROR(LOOKUP(D478,SOCIO!B:B,SOCIO!A:A),"")</f>
        <v/>
      </c>
      <c r="F478" s="67" t="str">
        <f>IFERROR(LOOKUP(E478,CODIGOS!A:A,CODIGOS!B:B)," ")</f>
        <v xml:space="preserve"> </v>
      </c>
      <c r="H478" s="74" t="str">
        <f>IF(J478="SI",IFERROR(LOOKUP(E478,CODIGOS!A:A,CODIGOS!C:C)," "),IFERROR(LOOKUP(E478,CODIGOS!A:A,CODIGOS!D:D),""))</f>
        <v/>
      </c>
      <c r="J478" s="35" t="str">
        <f>IFERROR(LOOKUP(D478,SOCIO!B:B,SOCIO!C:C)," ")</f>
        <v xml:space="preserve"> </v>
      </c>
    </row>
    <row r="479" spans="1:10">
      <c r="A479" s="83" t="str">
        <f t="shared" si="7"/>
        <v xml:space="preserve"> </v>
      </c>
      <c r="C479" s="63" t="str">
        <f>IFERROR(LOOKUP(D479,SOCIO!B:B,SOCIO!A:A),"")</f>
        <v/>
      </c>
      <c r="F479" s="67" t="str">
        <f>IFERROR(LOOKUP(E479,CODIGOS!A:A,CODIGOS!B:B)," ")</f>
        <v xml:space="preserve"> </v>
      </c>
      <c r="H479" s="74" t="str">
        <f>IF(J479="SI",IFERROR(LOOKUP(E479,CODIGOS!A:A,CODIGOS!C:C)," "),IFERROR(LOOKUP(E479,CODIGOS!A:A,CODIGOS!D:D),""))</f>
        <v/>
      </c>
      <c r="J479" s="35" t="str">
        <f>IFERROR(LOOKUP(D479,SOCIO!B:B,SOCIO!C:C)," ")</f>
        <v xml:space="preserve"> </v>
      </c>
    </row>
    <row r="480" spans="1:10">
      <c r="A480" s="83" t="str">
        <f t="shared" si="7"/>
        <v xml:space="preserve"> </v>
      </c>
      <c r="C480" s="63" t="str">
        <f>IFERROR(LOOKUP(D480,SOCIO!B:B,SOCIO!A:A),"")</f>
        <v/>
      </c>
      <c r="F480" s="67" t="str">
        <f>IFERROR(LOOKUP(E480,CODIGOS!A:A,CODIGOS!B:B)," ")</f>
        <v xml:space="preserve"> </v>
      </c>
      <c r="H480" s="74" t="str">
        <f>IF(J480="SI",IFERROR(LOOKUP(E480,CODIGOS!A:A,CODIGOS!C:C)," "),IFERROR(LOOKUP(E480,CODIGOS!A:A,CODIGOS!D:D),""))</f>
        <v/>
      </c>
      <c r="J480" s="35" t="str">
        <f>IFERROR(LOOKUP(D480,SOCIO!B:B,SOCIO!C:C)," ")</f>
        <v xml:space="preserve"> </v>
      </c>
    </row>
    <row r="481" spans="1:10">
      <c r="A481" s="83" t="str">
        <f t="shared" si="7"/>
        <v xml:space="preserve"> </v>
      </c>
      <c r="C481" s="63" t="str">
        <f>IFERROR(LOOKUP(D481,SOCIO!B:B,SOCIO!A:A),"")</f>
        <v/>
      </c>
      <c r="F481" s="67" t="str">
        <f>IFERROR(LOOKUP(E481,CODIGOS!A:A,CODIGOS!B:B)," ")</f>
        <v xml:space="preserve"> </v>
      </c>
      <c r="H481" s="74" t="str">
        <f>IF(J481="SI",IFERROR(LOOKUP(E481,CODIGOS!A:A,CODIGOS!C:C)," "),IFERROR(LOOKUP(E481,CODIGOS!A:A,CODIGOS!D:D),""))</f>
        <v/>
      </c>
      <c r="J481" s="35" t="str">
        <f>IFERROR(LOOKUP(D481,SOCIO!B:B,SOCIO!C:C)," ")</f>
        <v xml:space="preserve"> </v>
      </c>
    </row>
    <row r="482" spans="1:10">
      <c r="A482" s="83" t="str">
        <f t="shared" si="7"/>
        <v xml:space="preserve"> </v>
      </c>
      <c r="C482" s="63" t="str">
        <f>IFERROR(LOOKUP(D482,SOCIO!B:B,SOCIO!A:A),"")</f>
        <v/>
      </c>
      <c r="F482" s="67" t="str">
        <f>IFERROR(LOOKUP(E482,CODIGOS!A:A,CODIGOS!B:B)," ")</f>
        <v xml:space="preserve"> </v>
      </c>
      <c r="H482" s="74" t="str">
        <f>IF(J482="SI",IFERROR(LOOKUP(E482,CODIGOS!A:A,CODIGOS!C:C)," "),IFERROR(LOOKUP(E482,CODIGOS!A:A,CODIGOS!D:D),""))</f>
        <v/>
      </c>
      <c r="J482" s="35" t="str">
        <f>IFERROR(LOOKUP(D482,SOCIO!B:B,SOCIO!C:C)," ")</f>
        <v xml:space="preserve"> </v>
      </c>
    </row>
    <row r="483" spans="1:10">
      <c r="A483" s="83" t="str">
        <f t="shared" si="7"/>
        <v xml:space="preserve"> </v>
      </c>
      <c r="C483" s="63" t="str">
        <f>IFERROR(LOOKUP(D483,SOCIO!B:B,SOCIO!A:A),"")</f>
        <v/>
      </c>
      <c r="F483" s="67" t="str">
        <f>IFERROR(LOOKUP(E483,CODIGOS!A:A,CODIGOS!B:B)," ")</f>
        <v xml:space="preserve"> </v>
      </c>
      <c r="H483" s="74" t="str">
        <f>IF(J483="SI",IFERROR(LOOKUP(E483,CODIGOS!A:A,CODIGOS!C:C)," "),IFERROR(LOOKUP(E483,CODIGOS!A:A,CODIGOS!D:D),""))</f>
        <v/>
      </c>
      <c r="J483" s="35" t="str">
        <f>IFERROR(LOOKUP(D483,SOCIO!B:B,SOCIO!C:C)," ")</f>
        <v xml:space="preserve"> </v>
      </c>
    </row>
    <row r="484" spans="1:10">
      <c r="A484" s="83" t="str">
        <f t="shared" si="7"/>
        <v xml:space="preserve"> </v>
      </c>
      <c r="C484" s="63" t="str">
        <f>IFERROR(LOOKUP(D484,SOCIO!B:B,SOCIO!A:A),"")</f>
        <v/>
      </c>
      <c r="F484" s="67" t="str">
        <f>IFERROR(LOOKUP(E484,CODIGOS!A:A,CODIGOS!B:B)," ")</f>
        <v xml:space="preserve"> </v>
      </c>
      <c r="H484" s="74" t="str">
        <f>IF(J484="SI",IFERROR(LOOKUP(E484,CODIGOS!A:A,CODIGOS!C:C)," "),IFERROR(LOOKUP(E484,CODIGOS!A:A,CODIGOS!D:D),""))</f>
        <v/>
      </c>
      <c r="J484" s="35" t="str">
        <f>IFERROR(LOOKUP(D484,SOCIO!B:B,SOCIO!C:C)," ")</f>
        <v xml:space="preserve"> </v>
      </c>
    </row>
    <row r="485" spans="1:10">
      <c r="A485" s="83" t="str">
        <f t="shared" si="7"/>
        <v xml:space="preserve"> </v>
      </c>
      <c r="C485" s="63" t="str">
        <f>IFERROR(LOOKUP(D485,SOCIO!B:B,SOCIO!A:A),"")</f>
        <v/>
      </c>
      <c r="F485" s="67" t="str">
        <f>IFERROR(LOOKUP(E485,CODIGOS!A:A,CODIGOS!B:B)," ")</f>
        <v xml:space="preserve"> </v>
      </c>
      <c r="H485" s="74" t="str">
        <f>IF(J485="SI",IFERROR(LOOKUP(E485,CODIGOS!A:A,CODIGOS!C:C)," "),IFERROR(LOOKUP(E485,CODIGOS!A:A,CODIGOS!D:D),""))</f>
        <v/>
      </c>
      <c r="J485" s="35" t="str">
        <f>IFERROR(LOOKUP(D485,SOCIO!B:B,SOCIO!C:C)," ")</f>
        <v xml:space="preserve"> </v>
      </c>
    </row>
    <row r="486" spans="1:10">
      <c r="A486" s="83" t="str">
        <f t="shared" si="7"/>
        <v xml:space="preserve"> </v>
      </c>
      <c r="C486" s="63" t="str">
        <f>IFERROR(LOOKUP(D486,SOCIO!B:B,SOCIO!A:A),"")</f>
        <v/>
      </c>
      <c r="F486" s="67" t="str">
        <f>IFERROR(LOOKUP(E486,CODIGOS!A:A,CODIGOS!B:B)," ")</f>
        <v xml:space="preserve"> </v>
      </c>
      <c r="H486" s="74" t="str">
        <f>IF(J486="SI",IFERROR(LOOKUP(E486,CODIGOS!A:A,CODIGOS!C:C)," "),IFERROR(LOOKUP(E486,CODIGOS!A:A,CODIGOS!D:D),""))</f>
        <v/>
      </c>
      <c r="J486" s="35" t="str">
        <f>IFERROR(LOOKUP(D486,SOCIO!B:B,SOCIO!C:C)," ")</f>
        <v xml:space="preserve"> </v>
      </c>
    </row>
    <row r="487" spans="1:10">
      <c r="A487" s="83" t="str">
        <f t="shared" si="7"/>
        <v xml:space="preserve"> </v>
      </c>
      <c r="C487" s="63" t="str">
        <f>IFERROR(LOOKUP(D487,SOCIO!B:B,SOCIO!A:A),"")</f>
        <v/>
      </c>
      <c r="F487" s="67" t="str">
        <f>IFERROR(LOOKUP(E487,CODIGOS!A:A,CODIGOS!B:B)," ")</f>
        <v xml:space="preserve"> </v>
      </c>
      <c r="H487" s="74" t="str">
        <f>IF(J487="SI",IFERROR(LOOKUP(E487,CODIGOS!A:A,CODIGOS!C:C)," "),IFERROR(LOOKUP(E487,CODIGOS!A:A,CODIGOS!D:D),""))</f>
        <v/>
      </c>
      <c r="J487" s="35" t="str">
        <f>IFERROR(LOOKUP(D487,SOCIO!B:B,SOCIO!C:C)," ")</f>
        <v xml:space="preserve"> </v>
      </c>
    </row>
    <row r="488" spans="1:10">
      <c r="A488" s="83" t="str">
        <f t="shared" si="7"/>
        <v xml:space="preserve"> </v>
      </c>
      <c r="C488" s="63" t="str">
        <f>IFERROR(LOOKUP(D488,SOCIO!B:B,SOCIO!A:A),"")</f>
        <v/>
      </c>
      <c r="F488" s="67" t="str">
        <f>IFERROR(LOOKUP(E488,CODIGOS!A:A,CODIGOS!B:B)," ")</f>
        <v xml:space="preserve"> </v>
      </c>
      <c r="H488" s="74" t="str">
        <f>IF(J488="SI",IFERROR(LOOKUP(E488,CODIGOS!A:A,CODIGOS!C:C)," "),IFERROR(LOOKUP(E488,CODIGOS!A:A,CODIGOS!D:D),""))</f>
        <v/>
      </c>
      <c r="J488" s="35" t="str">
        <f>IFERROR(LOOKUP(D488,SOCIO!B:B,SOCIO!C:C)," ")</f>
        <v xml:space="preserve"> </v>
      </c>
    </row>
    <row r="489" spans="1:10">
      <c r="A489" s="83" t="str">
        <f t="shared" si="7"/>
        <v xml:space="preserve"> </v>
      </c>
      <c r="C489" s="63" t="str">
        <f>IFERROR(LOOKUP(D489,SOCIO!B:B,SOCIO!A:A),"")</f>
        <v/>
      </c>
      <c r="F489" s="67" t="str">
        <f>IFERROR(LOOKUP(E489,CODIGOS!A:A,CODIGOS!B:B)," ")</f>
        <v xml:space="preserve"> </v>
      </c>
      <c r="H489" s="74" t="str">
        <f>IF(J489="SI",IFERROR(LOOKUP(E489,CODIGOS!A:A,CODIGOS!C:C)," "),IFERROR(LOOKUP(E489,CODIGOS!A:A,CODIGOS!D:D),""))</f>
        <v/>
      </c>
      <c r="J489" s="35" t="str">
        <f>IFERROR(LOOKUP(D489,SOCIO!B:B,SOCIO!C:C)," ")</f>
        <v xml:space="preserve"> </v>
      </c>
    </row>
    <row r="490" spans="1:10">
      <c r="A490" s="83" t="str">
        <f t="shared" si="7"/>
        <v xml:space="preserve"> </v>
      </c>
      <c r="C490" s="63" t="str">
        <f>IFERROR(LOOKUP(D490,SOCIO!B:B,SOCIO!A:A),"")</f>
        <v/>
      </c>
      <c r="F490" s="67" t="str">
        <f>IFERROR(LOOKUP(E490,CODIGOS!A:A,CODIGOS!B:B)," ")</f>
        <v xml:space="preserve"> </v>
      </c>
      <c r="H490" s="74" t="str">
        <f>IF(J490="SI",IFERROR(LOOKUP(E490,CODIGOS!A:A,CODIGOS!C:C)," "),IFERROR(LOOKUP(E490,CODIGOS!A:A,CODIGOS!D:D),""))</f>
        <v/>
      </c>
      <c r="J490" s="35" t="str">
        <f>IFERROR(LOOKUP(D490,SOCIO!B:B,SOCIO!C:C)," ")</f>
        <v xml:space="preserve"> </v>
      </c>
    </row>
    <row r="491" spans="1:10">
      <c r="A491" s="83" t="str">
        <f t="shared" si="7"/>
        <v xml:space="preserve"> </v>
      </c>
      <c r="C491" s="63" t="str">
        <f>IFERROR(LOOKUP(D491,SOCIO!B:B,SOCIO!A:A),"")</f>
        <v/>
      </c>
      <c r="F491" s="67" t="str">
        <f>IFERROR(LOOKUP(E491,CODIGOS!A:A,CODIGOS!B:B)," ")</f>
        <v xml:space="preserve"> </v>
      </c>
      <c r="H491" s="74" t="str">
        <f>IF(J491="SI",IFERROR(LOOKUP(E491,CODIGOS!A:A,CODIGOS!C:C)," "),IFERROR(LOOKUP(E491,CODIGOS!A:A,CODIGOS!D:D),""))</f>
        <v/>
      </c>
      <c r="J491" s="35" t="str">
        <f>IFERROR(LOOKUP(D491,SOCIO!B:B,SOCIO!C:C)," ")</f>
        <v xml:space="preserve"> </v>
      </c>
    </row>
    <row r="492" spans="1:10">
      <c r="A492" s="83" t="str">
        <f t="shared" si="7"/>
        <v xml:space="preserve"> </v>
      </c>
      <c r="C492" s="63" t="str">
        <f>IFERROR(LOOKUP(D492,SOCIO!B:B,SOCIO!A:A),"")</f>
        <v/>
      </c>
      <c r="F492" s="67" t="str">
        <f>IFERROR(LOOKUP(E492,CODIGOS!A:A,CODIGOS!B:B)," ")</f>
        <v xml:space="preserve"> </v>
      </c>
      <c r="H492" s="74" t="str">
        <f>IF(J492="SI",IFERROR(LOOKUP(E492,CODIGOS!A:A,CODIGOS!C:C)," "),IFERROR(LOOKUP(E492,CODIGOS!A:A,CODIGOS!D:D),""))</f>
        <v/>
      </c>
      <c r="J492" s="35" t="str">
        <f>IFERROR(LOOKUP(D492,SOCIO!B:B,SOCIO!C:C)," ")</f>
        <v xml:space="preserve"> </v>
      </c>
    </row>
    <row r="493" spans="1:10">
      <c r="A493" s="83" t="str">
        <f t="shared" si="7"/>
        <v xml:space="preserve"> </v>
      </c>
      <c r="C493" s="63" t="str">
        <f>IFERROR(LOOKUP(D493,SOCIO!B:B,SOCIO!A:A),"")</f>
        <v/>
      </c>
      <c r="F493" s="67" t="str">
        <f>IFERROR(LOOKUP(E493,CODIGOS!A:A,CODIGOS!B:B)," ")</f>
        <v xml:space="preserve"> </v>
      </c>
      <c r="H493" s="74" t="str">
        <f>IF(J493="SI",IFERROR(LOOKUP(E493,CODIGOS!A:A,CODIGOS!C:C)," "),IFERROR(LOOKUP(E493,CODIGOS!A:A,CODIGOS!D:D),""))</f>
        <v/>
      </c>
      <c r="J493" s="35" t="str">
        <f>IFERROR(LOOKUP(D493,SOCIO!B:B,SOCIO!C:C)," ")</f>
        <v xml:space="preserve"> </v>
      </c>
    </row>
    <row r="494" spans="1:10">
      <c r="A494" s="83" t="str">
        <f t="shared" si="7"/>
        <v xml:space="preserve"> </v>
      </c>
      <c r="C494" s="63" t="str">
        <f>IFERROR(LOOKUP(D494,SOCIO!B:B,SOCIO!A:A),"")</f>
        <v/>
      </c>
      <c r="F494" s="67" t="str">
        <f>IFERROR(LOOKUP(E494,CODIGOS!A:A,CODIGOS!B:B)," ")</f>
        <v xml:space="preserve"> </v>
      </c>
      <c r="H494" s="74" t="str">
        <f>IF(J494="SI",IFERROR(LOOKUP(E494,CODIGOS!A:A,CODIGOS!C:C)," "),IFERROR(LOOKUP(E494,CODIGOS!A:A,CODIGOS!D:D),""))</f>
        <v/>
      </c>
      <c r="J494" s="35" t="str">
        <f>IFERROR(LOOKUP(D494,SOCIO!B:B,SOCIO!C:C)," ")</f>
        <v xml:space="preserve"> </v>
      </c>
    </row>
    <row r="495" spans="1:10">
      <c r="A495" s="83" t="str">
        <f t="shared" si="7"/>
        <v xml:space="preserve"> </v>
      </c>
      <c r="C495" s="63" t="str">
        <f>IFERROR(LOOKUP(D495,SOCIO!B:B,SOCIO!A:A),"")</f>
        <v/>
      </c>
      <c r="F495" s="67" t="str">
        <f>IFERROR(LOOKUP(E495,CODIGOS!A:A,CODIGOS!B:B)," ")</f>
        <v xml:space="preserve"> </v>
      </c>
      <c r="H495" s="74" t="str">
        <f>IF(J495="SI",IFERROR(LOOKUP(E495,CODIGOS!A:A,CODIGOS!C:C)," "),IFERROR(LOOKUP(E495,CODIGOS!A:A,CODIGOS!D:D),""))</f>
        <v/>
      </c>
      <c r="J495" s="35" t="str">
        <f>IFERROR(LOOKUP(D495,SOCIO!B:B,SOCIO!C:C)," ")</f>
        <v xml:space="preserve"> </v>
      </c>
    </row>
    <row r="496" spans="1:10">
      <c r="A496" s="83" t="str">
        <f t="shared" si="7"/>
        <v xml:space="preserve"> </v>
      </c>
      <c r="C496" s="63" t="str">
        <f>IFERROR(LOOKUP(D496,SOCIO!B:B,SOCIO!A:A),"")</f>
        <v/>
      </c>
      <c r="F496" s="67" t="str">
        <f>IFERROR(LOOKUP(E496,CODIGOS!A:A,CODIGOS!B:B)," ")</f>
        <v xml:space="preserve"> </v>
      </c>
      <c r="H496" s="74" t="str">
        <f>IF(J496="SI",IFERROR(LOOKUP(E496,CODIGOS!A:A,CODIGOS!C:C)," "),IFERROR(LOOKUP(E496,CODIGOS!A:A,CODIGOS!D:D),""))</f>
        <v/>
      </c>
      <c r="J496" s="35" t="str">
        <f>IFERROR(LOOKUP(D496,SOCIO!B:B,SOCIO!C:C)," ")</f>
        <v xml:space="preserve"> </v>
      </c>
    </row>
    <row r="497" spans="1:10">
      <c r="A497" s="83" t="str">
        <f t="shared" si="7"/>
        <v xml:space="preserve"> </v>
      </c>
      <c r="C497" s="63" t="str">
        <f>IFERROR(LOOKUP(D497,SOCIO!B:B,SOCIO!A:A),"")</f>
        <v/>
      </c>
      <c r="F497" s="67" t="str">
        <f>IFERROR(LOOKUP(E497,CODIGOS!A:A,CODIGOS!B:B)," ")</f>
        <v xml:space="preserve"> </v>
      </c>
      <c r="H497" s="74" t="str">
        <f>IF(J497="SI",IFERROR(LOOKUP(E497,CODIGOS!A:A,CODIGOS!C:C)," "),IFERROR(LOOKUP(E497,CODIGOS!A:A,CODIGOS!D:D),""))</f>
        <v/>
      </c>
      <c r="J497" s="35" t="str">
        <f>IFERROR(LOOKUP(D497,SOCIO!B:B,SOCIO!C:C)," ")</f>
        <v xml:space="preserve"> </v>
      </c>
    </row>
    <row r="498" spans="1:10">
      <c r="A498" s="83" t="str">
        <f t="shared" si="7"/>
        <v xml:space="preserve"> </v>
      </c>
      <c r="C498" s="63" t="str">
        <f>IFERROR(LOOKUP(D498,SOCIO!B:B,SOCIO!A:A),"")</f>
        <v/>
      </c>
      <c r="F498" s="67" t="str">
        <f>IFERROR(LOOKUP(E498,CODIGOS!A:A,CODIGOS!B:B)," ")</f>
        <v xml:space="preserve"> </v>
      </c>
      <c r="H498" s="74" t="str">
        <f>IF(J498="SI",IFERROR(LOOKUP(E498,CODIGOS!A:A,CODIGOS!C:C)," "),IFERROR(LOOKUP(E498,CODIGOS!A:A,CODIGOS!D:D),""))</f>
        <v/>
      </c>
      <c r="J498" s="35" t="str">
        <f>IFERROR(LOOKUP(D498,SOCIO!B:B,SOCIO!C:C)," ")</f>
        <v xml:space="preserve"> </v>
      </c>
    </row>
    <row r="499" spans="1:10">
      <c r="A499" s="83" t="str">
        <f t="shared" si="7"/>
        <v xml:space="preserve"> </v>
      </c>
      <c r="C499" s="63" t="str">
        <f>IFERROR(LOOKUP(D499,SOCIO!B:B,SOCIO!A:A),"")</f>
        <v/>
      </c>
      <c r="F499" s="67" t="str">
        <f>IFERROR(LOOKUP(E499,CODIGOS!A:A,CODIGOS!B:B)," ")</f>
        <v xml:space="preserve"> </v>
      </c>
      <c r="H499" s="74" t="str">
        <f>IF(J499="SI",IFERROR(LOOKUP(E499,CODIGOS!A:A,CODIGOS!C:C)," "),IFERROR(LOOKUP(E499,CODIGOS!A:A,CODIGOS!D:D),""))</f>
        <v/>
      </c>
      <c r="J499" s="35" t="str">
        <f>IFERROR(LOOKUP(D499,SOCIO!B:B,SOCIO!C:C)," ")</f>
        <v xml:space="preserve"> </v>
      </c>
    </row>
    <row r="500" spans="1:10">
      <c r="A500" s="83" t="str">
        <f t="shared" si="7"/>
        <v xml:space="preserve"> </v>
      </c>
      <c r="C500" s="63" t="str">
        <f>IFERROR(LOOKUP(D500,SOCIO!B:B,SOCIO!A:A),"")</f>
        <v/>
      </c>
      <c r="F500" s="67" t="str">
        <f>IFERROR(LOOKUP(E500,CODIGOS!A:A,CODIGOS!B:B)," ")</f>
        <v xml:space="preserve"> </v>
      </c>
      <c r="H500" s="74" t="str">
        <f>IF(J500="SI",IFERROR(LOOKUP(E500,CODIGOS!A:A,CODIGOS!C:C)," "),IFERROR(LOOKUP(E500,CODIGOS!A:A,CODIGOS!D:D),""))</f>
        <v/>
      </c>
      <c r="J500" s="35" t="str">
        <f>IFERROR(LOOKUP(D500,SOCIO!B:B,SOCIO!C:C)," ")</f>
        <v xml:space="preserve"> </v>
      </c>
    </row>
    <row r="501" spans="1:10">
      <c r="A501" s="83" t="str">
        <f t="shared" si="7"/>
        <v xml:space="preserve"> </v>
      </c>
      <c r="C501" s="63" t="str">
        <f>IFERROR(LOOKUP(D501,SOCIO!B:B,SOCIO!A:A),"")</f>
        <v/>
      </c>
      <c r="F501" s="67" t="str">
        <f>IFERROR(LOOKUP(E501,CODIGOS!A:A,CODIGOS!B:B)," ")</f>
        <v xml:space="preserve"> </v>
      </c>
      <c r="H501" s="74" t="str">
        <f>IF(J501="SI",IFERROR(LOOKUP(E501,CODIGOS!A:A,CODIGOS!C:C)," "),IFERROR(LOOKUP(E501,CODIGOS!A:A,CODIGOS!D:D),""))</f>
        <v/>
      </c>
      <c r="J501" s="35" t="str">
        <f>IFERROR(LOOKUP(D501,SOCIO!B:B,SOCIO!C:C)," ")</f>
        <v xml:space="preserve"> </v>
      </c>
    </row>
    <row r="502" spans="1:10">
      <c r="A502" s="83" t="str">
        <f t="shared" si="7"/>
        <v xml:space="preserve"> </v>
      </c>
      <c r="C502" s="63" t="str">
        <f>IFERROR(LOOKUP(D502,SOCIO!B:B,SOCIO!A:A),"")</f>
        <v/>
      </c>
      <c r="F502" s="67" t="str">
        <f>IFERROR(LOOKUP(E502,CODIGOS!A:A,CODIGOS!B:B)," ")</f>
        <v xml:space="preserve"> </v>
      </c>
      <c r="H502" s="74" t="str">
        <f>IF(J502="SI",IFERROR(LOOKUP(E502,CODIGOS!A:A,CODIGOS!C:C)," "),IFERROR(LOOKUP(E502,CODIGOS!A:A,CODIGOS!D:D),""))</f>
        <v/>
      </c>
      <c r="J502" s="35" t="str">
        <f>IFERROR(LOOKUP(D502,SOCIO!B:B,SOCIO!C:C)," ")</f>
        <v xml:space="preserve"> </v>
      </c>
    </row>
    <row r="503" spans="1:10">
      <c r="A503" s="83" t="str">
        <f t="shared" si="7"/>
        <v xml:space="preserve"> </v>
      </c>
      <c r="C503" s="63" t="str">
        <f>IFERROR(LOOKUP(D503,SOCIO!B:B,SOCIO!A:A),"")</f>
        <v/>
      </c>
      <c r="F503" s="67" t="str">
        <f>IFERROR(LOOKUP(E503,CODIGOS!A:A,CODIGOS!B:B)," ")</f>
        <v xml:space="preserve"> </v>
      </c>
      <c r="H503" s="74" t="str">
        <f>IF(J503="SI",IFERROR(LOOKUP(E503,CODIGOS!A:A,CODIGOS!C:C)," "),IFERROR(LOOKUP(E503,CODIGOS!A:A,CODIGOS!D:D),""))</f>
        <v/>
      </c>
      <c r="J503" s="35" t="str">
        <f>IFERROR(LOOKUP(D503,SOCIO!B:B,SOCIO!C:C)," ")</f>
        <v xml:space="preserve"> </v>
      </c>
    </row>
    <row r="504" spans="1:10">
      <c r="A504" s="83" t="str">
        <f t="shared" si="7"/>
        <v xml:space="preserve"> </v>
      </c>
      <c r="C504" s="63" t="str">
        <f>IFERROR(LOOKUP(D504,SOCIO!B:B,SOCIO!A:A),"")</f>
        <v/>
      </c>
      <c r="F504" s="67" t="str">
        <f>IFERROR(LOOKUP(E504,CODIGOS!A:A,CODIGOS!B:B)," ")</f>
        <v xml:space="preserve"> </v>
      </c>
      <c r="H504" s="74" t="str">
        <f>IF(J504="SI",IFERROR(LOOKUP(E504,CODIGOS!A:A,CODIGOS!C:C)," "),IFERROR(LOOKUP(E504,CODIGOS!A:A,CODIGOS!D:D),""))</f>
        <v/>
      </c>
      <c r="J504" s="35" t="str">
        <f>IFERROR(LOOKUP(D504,SOCIO!B:B,SOCIO!C:C)," ")</f>
        <v xml:space="preserve"> </v>
      </c>
    </row>
    <row r="505" spans="1:10">
      <c r="A505" s="83" t="str">
        <f t="shared" si="7"/>
        <v xml:space="preserve"> </v>
      </c>
      <c r="C505" s="63" t="str">
        <f>IFERROR(LOOKUP(D505,SOCIO!B:B,SOCIO!A:A),"")</f>
        <v/>
      </c>
      <c r="F505" s="67" t="str">
        <f>IFERROR(LOOKUP(E505,CODIGOS!A:A,CODIGOS!B:B)," ")</f>
        <v xml:space="preserve"> </v>
      </c>
      <c r="H505" s="74" t="str">
        <f>IF(J505="SI",IFERROR(LOOKUP(E505,CODIGOS!A:A,CODIGOS!C:C)," "),IFERROR(LOOKUP(E505,CODIGOS!A:A,CODIGOS!D:D),""))</f>
        <v/>
      </c>
      <c r="J505" s="35" t="str">
        <f>IFERROR(LOOKUP(D505,SOCIO!B:B,SOCIO!C:C)," ")</f>
        <v xml:space="preserve"> </v>
      </c>
    </row>
    <row r="506" spans="1:10">
      <c r="A506" s="83" t="str">
        <f t="shared" si="7"/>
        <v xml:space="preserve"> </v>
      </c>
      <c r="C506" s="63" t="str">
        <f>IFERROR(LOOKUP(D506,SOCIO!B:B,SOCIO!A:A),"")</f>
        <v/>
      </c>
      <c r="F506" s="67" t="str">
        <f>IFERROR(LOOKUP(E506,CODIGOS!A:A,CODIGOS!B:B)," ")</f>
        <v xml:space="preserve"> </v>
      </c>
      <c r="H506" s="74" t="str">
        <f>IF(J506="SI",IFERROR(LOOKUP(E506,CODIGOS!A:A,CODIGOS!C:C)," "),IFERROR(LOOKUP(E506,CODIGOS!A:A,CODIGOS!D:D),""))</f>
        <v/>
      </c>
      <c r="J506" s="35" t="str">
        <f>IFERROR(LOOKUP(D506,SOCIO!B:B,SOCIO!C:C)," ")</f>
        <v xml:space="preserve"> </v>
      </c>
    </row>
    <row r="507" spans="1:10">
      <c r="A507" s="83" t="str">
        <f t="shared" si="7"/>
        <v xml:space="preserve"> </v>
      </c>
      <c r="C507" s="63" t="str">
        <f>IFERROR(LOOKUP(D507,SOCIO!B:B,SOCIO!A:A),"")</f>
        <v/>
      </c>
      <c r="F507" s="67" t="str">
        <f>IFERROR(LOOKUP(E507,CODIGOS!A:A,CODIGOS!B:B)," ")</f>
        <v xml:space="preserve"> </v>
      </c>
      <c r="H507" s="74" t="str">
        <f>IF(J507="SI",IFERROR(LOOKUP(E507,CODIGOS!A:A,CODIGOS!C:C)," "),IFERROR(LOOKUP(E507,CODIGOS!A:A,CODIGOS!D:D),""))</f>
        <v/>
      </c>
      <c r="J507" s="35" t="str">
        <f>IFERROR(LOOKUP(D507,SOCIO!B:B,SOCIO!C:C)," ")</f>
        <v xml:space="preserve"> </v>
      </c>
    </row>
    <row r="508" spans="1:10">
      <c r="A508" s="83" t="str">
        <f t="shared" si="7"/>
        <v xml:space="preserve"> </v>
      </c>
      <c r="C508" s="63" t="str">
        <f>IFERROR(LOOKUP(D508,SOCIO!B:B,SOCIO!A:A),"")</f>
        <v/>
      </c>
      <c r="F508" s="67" t="str">
        <f>IFERROR(LOOKUP(E508,CODIGOS!A:A,CODIGOS!B:B)," ")</f>
        <v xml:space="preserve"> </v>
      </c>
      <c r="H508" s="74" t="str">
        <f>IF(J508="SI",IFERROR(LOOKUP(E508,CODIGOS!A:A,CODIGOS!C:C)," "),IFERROR(LOOKUP(E508,CODIGOS!A:A,CODIGOS!D:D),""))</f>
        <v/>
      </c>
      <c r="J508" s="35" t="str">
        <f>IFERROR(LOOKUP(D508,SOCIO!B:B,SOCIO!C:C)," ")</f>
        <v xml:space="preserve"> </v>
      </c>
    </row>
    <row r="509" spans="1:10">
      <c r="A509" s="83" t="str">
        <f t="shared" si="7"/>
        <v xml:space="preserve"> </v>
      </c>
      <c r="C509" s="63" t="str">
        <f>IFERROR(LOOKUP(D509,SOCIO!B:B,SOCIO!A:A),"")</f>
        <v/>
      </c>
      <c r="F509" s="67" t="str">
        <f>IFERROR(LOOKUP(E509,CODIGOS!A:A,CODIGOS!B:B)," ")</f>
        <v xml:space="preserve"> </v>
      </c>
      <c r="H509" s="74" t="str">
        <f>IF(J509="SI",IFERROR(LOOKUP(E509,CODIGOS!A:A,CODIGOS!C:C)," "),IFERROR(LOOKUP(E509,CODIGOS!A:A,CODIGOS!D:D),""))</f>
        <v/>
      </c>
      <c r="J509" s="35" t="str">
        <f>IFERROR(LOOKUP(D509,SOCIO!B:B,SOCIO!C:C)," ")</f>
        <v xml:space="preserve"> </v>
      </c>
    </row>
    <row r="510" spans="1:10">
      <c r="A510" s="83" t="str">
        <f t="shared" si="7"/>
        <v xml:space="preserve"> </v>
      </c>
      <c r="C510" s="63" t="str">
        <f>IFERROR(LOOKUP(D510,SOCIO!B:B,SOCIO!A:A),"")</f>
        <v/>
      </c>
      <c r="F510" s="67" t="str">
        <f>IFERROR(LOOKUP(E510,CODIGOS!A:A,CODIGOS!B:B)," ")</f>
        <v xml:space="preserve"> </v>
      </c>
      <c r="H510" s="74" t="str">
        <f>IF(J510="SI",IFERROR(LOOKUP(E510,CODIGOS!A:A,CODIGOS!C:C)," "),IFERROR(LOOKUP(E510,CODIGOS!A:A,CODIGOS!D:D),""))</f>
        <v/>
      </c>
      <c r="J510" s="35" t="str">
        <f>IFERROR(LOOKUP(D510,SOCIO!B:B,SOCIO!C:C)," ")</f>
        <v xml:space="preserve"> </v>
      </c>
    </row>
    <row r="511" spans="1:10">
      <c r="A511" s="83" t="str">
        <f t="shared" si="7"/>
        <v xml:space="preserve"> </v>
      </c>
      <c r="C511" s="63" t="str">
        <f>IFERROR(LOOKUP(D511,SOCIO!B:B,SOCIO!A:A),"")</f>
        <v/>
      </c>
      <c r="F511" s="67" t="str">
        <f>IFERROR(LOOKUP(E511,CODIGOS!A:A,CODIGOS!B:B)," ")</f>
        <v xml:space="preserve"> </v>
      </c>
      <c r="H511" s="74" t="str">
        <f>IF(J511="SI",IFERROR(LOOKUP(E511,CODIGOS!A:A,CODIGOS!C:C)," "),IFERROR(LOOKUP(E511,CODIGOS!A:A,CODIGOS!D:D),""))</f>
        <v/>
      </c>
      <c r="J511" s="35" t="str">
        <f>IFERROR(LOOKUP(D511,SOCIO!B:B,SOCIO!C:C)," ")</f>
        <v xml:space="preserve"> </v>
      </c>
    </row>
    <row r="512" spans="1:10">
      <c r="A512" s="83" t="str">
        <f t="shared" si="7"/>
        <v xml:space="preserve"> </v>
      </c>
      <c r="C512" s="63" t="str">
        <f>IFERROR(LOOKUP(D512,SOCIO!B:B,SOCIO!A:A),"")</f>
        <v/>
      </c>
      <c r="F512" s="67" t="str">
        <f>IFERROR(LOOKUP(E512,CODIGOS!A:A,CODIGOS!B:B)," ")</f>
        <v xml:space="preserve"> </v>
      </c>
      <c r="H512" s="74" t="str">
        <f>IF(J512="SI",IFERROR(LOOKUP(E512,CODIGOS!A:A,CODIGOS!C:C)," "),IFERROR(LOOKUP(E512,CODIGOS!A:A,CODIGOS!D:D),""))</f>
        <v/>
      </c>
      <c r="J512" s="35" t="str">
        <f>IFERROR(LOOKUP(D512,SOCIO!B:B,SOCIO!C:C)," ")</f>
        <v xml:space="preserve"> </v>
      </c>
    </row>
    <row r="513" spans="1:10">
      <c r="A513" s="83" t="str">
        <f t="shared" si="7"/>
        <v xml:space="preserve"> </v>
      </c>
      <c r="C513" s="63" t="str">
        <f>IFERROR(LOOKUP(D513,SOCIO!B:B,SOCIO!A:A),"")</f>
        <v/>
      </c>
      <c r="F513" s="67" t="str">
        <f>IFERROR(LOOKUP(E513,CODIGOS!A:A,CODIGOS!B:B)," ")</f>
        <v xml:space="preserve"> </v>
      </c>
      <c r="H513" s="74" t="str">
        <f>IF(J513="SI",IFERROR(LOOKUP(E513,CODIGOS!A:A,CODIGOS!C:C)," "),IFERROR(LOOKUP(E513,CODIGOS!A:A,CODIGOS!D:D),""))</f>
        <v/>
      </c>
      <c r="J513" s="35" t="str">
        <f>IFERROR(LOOKUP(D513,SOCIO!B:B,SOCIO!C:C)," ")</f>
        <v xml:space="preserve"> </v>
      </c>
    </row>
    <row r="514" spans="1:10">
      <c r="A514" s="83" t="str">
        <f t="shared" ref="A514:A577" si="8">IF(B514&lt;&gt;0,A513+1," ")</f>
        <v xml:space="preserve"> </v>
      </c>
      <c r="C514" s="63" t="str">
        <f>IFERROR(LOOKUP(D514,SOCIO!B:B,SOCIO!A:A),"")</f>
        <v/>
      </c>
      <c r="F514" s="67" t="str">
        <f>IFERROR(LOOKUP(E514,CODIGOS!A:A,CODIGOS!B:B)," ")</f>
        <v xml:space="preserve"> </v>
      </c>
      <c r="H514" s="74" t="str">
        <f>IF(J514="SI",IFERROR(LOOKUP(E514,CODIGOS!A:A,CODIGOS!C:C)," "),IFERROR(LOOKUP(E514,CODIGOS!A:A,CODIGOS!D:D),""))</f>
        <v/>
      </c>
      <c r="J514" s="35" t="str">
        <f>IFERROR(LOOKUP(D514,SOCIO!B:B,SOCIO!C:C)," ")</f>
        <v xml:space="preserve"> </v>
      </c>
    </row>
    <row r="515" spans="1:10">
      <c r="A515" s="83" t="str">
        <f t="shared" si="8"/>
        <v xml:space="preserve"> </v>
      </c>
      <c r="C515" s="63" t="str">
        <f>IFERROR(LOOKUP(D515,SOCIO!B:B,SOCIO!A:A),"")</f>
        <v/>
      </c>
      <c r="F515" s="67" t="str">
        <f>IFERROR(LOOKUP(E515,CODIGOS!A:A,CODIGOS!B:B)," ")</f>
        <v xml:space="preserve"> </v>
      </c>
      <c r="H515" s="74" t="str">
        <f>IF(J515="SI",IFERROR(LOOKUP(E515,CODIGOS!A:A,CODIGOS!C:C)," "),IFERROR(LOOKUP(E515,CODIGOS!A:A,CODIGOS!D:D),""))</f>
        <v/>
      </c>
      <c r="J515" s="35" t="str">
        <f>IFERROR(LOOKUP(D515,SOCIO!B:B,SOCIO!C:C)," ")</f>
        <v xml:space="preserve"> </v>
      </c>
    </row>
    <row r="516" spans="1:10">
      <c r="A516" s="83" t="str">
        <f t="shared" si="8"/>
        <v xml:space="preserve"> </v>
      </c>
      <c r="C516" s="63" t="str">
        <f>IFERROR(LOOKUP(D516,SOCIO!B:B,SOCIO!A:A),"")</f>
        <v/>
      </c>
      <c r="F516" s="67" t="str">
        <f>IFERROR(LOOKUP(E516,CODIGOS!A:A,CODIGOS!B:B)," ")</f>
        <v xml:space="preserve"> </v>
      </c>
      <c r="H516" s="74" t="str">
        <f>IF(J516="SI",IFERROR(LOOKUP(E516,CODIGOS!A:A,CODIGOS!C:C)," "),IFERROR(LOOKUP(E516,CODIGOS!A:A,CODIGOS!D:D),""))</f>
        <v/>
      </c>
      <c r="J516" s="35" t="str">
        <f>IFERROR(LOOKUP(D516,SOCIO!B:B,SOCIO!C:C)," ")</f>
        <v xml:space="preserve"> </v>
      </c>
    </row>
    <row r="517" spans="1:10">
      <c r="A517" s="83" t="str">
        <f t="shared" si="8"/>
        <v xml:space="preserve"> </v>
      </c>
      <c r="C517" s="63" t="str">
        <f>IFERROR(LOOKUP(D517,SOCIO!B:B,SOCIO!A:A),"")</f>
        <v/>
      </c>
      <c r="F517" s="67" t="str">
        <f>IFERROR(LOOKUP(E517,CODIGOS!A:A,CODIGOS!B:B)," ")</f>
        <v xml:space="preserve"> </v>
      </c>
      <c r="H517" s="74" t="str">
        <f>IF(J517="SI",IFERROR(LOOKUP(E517,CODIGOS!A:A,CODIGOS!C:C)," "),IFERROR(LOOKUP(E517,CODIGOS!A:A,CODIGOS!D:D),""))</f>
        <v/>
      </c>
      <c r="J517" s="35" t="str">
        <f>IFERROR(LOOKUP(D517,SOCIO!B:B,SOCIO!C:C)," ")</f>
        <v xml:space="preserve"> </v>
      </c>
    </row>
    <row r="518" spans="1:10">
      <c r="A518" s="83" t="str">
        <f t="shared" si="8"/>
        <v xml:space="preserve"> </v>
      </c>
      <c r="C518" s="63" t="str">
        <f>IFERROR(LOOKUP(D518,SOCIO!B:B,SOCIO!A:A),"")</f>
        <v/>
      </c>
      <c r="F518" s="67" t="str">
        <f>IFERROR(LOOKUP(E518,CODIGOS!A:A,CODIGOS!B:B)," ")</f>
        <v xml:space="preserve"> </v>
      </c>
      <c r="H518" s="74" t="str">
        <f>IF(J518="SI",IFERROR(LOOKUP(E518,CODIGOS!A:A,CODIGOS!C:C)," "),IFERROR(LOOKUP(E518,CODIGOS!A:A,CODIGOS!D:D),""))</f>
        <v/>
      </c>
      <c r="J518" s="35" t="str">
        <f>IFERROR(LOOKUP(D518,SOCIO!B:B,SOCIO!C:C)," ")</f>
        <v xml:space="preserve"> </v>
      </c>
    </row>
    <row r="519" spans="1:10">
      <c r="A519" s="83" t="str">
        <f t="shared" si="8"/>
        <v xml:space="preserve"> </v>
      </c>
      <c r="C519" s="63" t="str">
        <f>IFERROR(LOOKUP(D519,SOCIO!B:B,SOCIO!A:A),"")</f>
        <v/>
      </c>
      <c r="F519" s="67" t="str">
        <f>IFERROR(LOOKUP(E519,CODIGOS!A:A,CODIGOS!B:B)," ")</f>
        <v xml:space="preserve"> </v>
      </c>
      <c r="H519" s="74" t="str">
        <f>IF(J519="SI",IFERROR(LOOKUP(E519,CODIGOS!A:A,CODIGOS!C:C)," "),IFERROR(LOOKUP(E519,CODIGOS!A:A,CODIGOS!D:D),""))</f>
        <v/>
      </c>
      <c r="J519" s="35" t="str">
        <f>IFERROR(LOOKUP(D519,SOCIO!B:B,SOCIO!C:C)," ")</f>
        <v xml:space="preserve"> </v>
      </c>
    </row>
    <row r="520" spans="1:10">
      <c r="A520" s="83" t="str">
        <f t="shared" si="8"/>
        <v xml:space="preserve"> </v>
      </c>
      <c r="C520" s="63" t="str">
        <f>IFERROR(LOOKUP(D520,SOCIO!B:B,SOCIO!A:A),"")</f>
        <v/>
      </c>
      <c r="F520" s="67" t="str">
        <f>IFERROR(LOOKUP(E520,CODIGOS!A:A,CODIGOS!B:B)," ")</f>
        <v xml:space="preserve"> </v>
      </c>
      <c r="H520" s="74" t="str">
        <f>IF(J520="SI",IFERROR(LOOKUP(E520,CODIGOS!A:A,CODIGOS!C:C)," "),IFERROR(LOOKUP(E520,CODIGOS!A:A,CODIGOS!D:D),""))</f>
        <v/>
      </c>
      <c r="J520" s="35" t="str">
        <f>IFERROR(LOOKUP(D520,SOCIO!B:B,SOCIO!C:C)," ")</f>
        <v xml:space="preserve"> </v>
      </c>
    </row>
    <row r="521" spans="1:10">
      <c r="A521" s="83" t="str">
        <f t="shared" si="8"/>
        <v xml:space="preserve"> </v>
      </c>
      <c r="C521" s="63" t="str">
        <f>IFERROR(LOOKUP(D521,SOCIO!B:B,SOCIO!A:A),"")</f>
        <v/>
      </c>
      <c r="F521" s="67" t="str">
        <f>IFERROR(LOOKUP(E521,CODIGOS!A:A,CODIGOS!B:B)," ")</f>
        <v xml:space="preserve"> </v>
      </c>
      <c r="H521" s="74" t="str">
        <f>IF(J521="SI",IFERROR(LOOKUP(E521,CODIGOS!A:A,CODIGOS!C:C)," "),IFERROR(LOOKUP(E521,CODIGOS!A:A,CODIGOS!D:D),""))</f>
        <v/>
      </c>
      <c r="J521" s="35" t="str">
        <f>IFERROR(LOOKUP(D521,SOCIO!B:B,SOCIO!C:C)," ")</f>
        <v xml:space="preserve"> </v>
      </c>
    </row>
    <row r="522" spans="1:10">
      <c r="A522" s="83" t="str">
        <f t="shared" si="8"/>
        <v xml:space="preserve"> </v>
      </c>
      <c r="C522" s="63" t="str">
        <f>IFERROR(LOOKUP(D522,SOCIO!B:B,SOCIO!A:A),"")</f>
        <v/>
      </c>
      <c r="F522" s="67" t="str">
        <f>IFERROR(LOOKUP(E522,CODIGOS!A:A,CODIGOS!B:B)," ")</f>
        <v xml:space="preserve"> </v>
      </c>
      <c r="H522" s="74" t="str">
        <f>IF(J522="SI",IFERROR(LOOKUP(E522,CODIGOS!A:A,CODIGOS!C:C)," "),IFERROR(LOOKUP(E522,CODIGOS!A:A,CODIGOS!D:D),""))</f>
        <v/>
      </c>
      <c r="J522" s="35" t="str">
        <f>IFERROR(LOOKUP(D522,SOCIO!B:B,SOCIO!C:C)," ")</f>
        <v xml:space="preserve"> </v>
      </c>
    </row>
    <row r="523" spans="1:10">
      <c r="A523" s="83" t="str">
        <f t="shared" si="8"/>
        <v xml:space="preserve"> </v>
      </c>
      <c r="C523" s="63" t="str">
        <f>IFERROR(LOOKUP(D523,SOCIO!B:B,SOCIO!A:A),"")</f>
        <v/>
      </c>
      <c r="F523" s="67" t="str">
        <f>IFERROR(LOOKUP(E523,CODIGOS!A:A,CODIGOS!B:B)," ")</f>
        <v xml:space="preserve"> </v>
      </c>
      <c r="H523" s="74" t="str">
        <f>IF(J523="SI",IFERROR(LOOKUP(E523,CODIGOS!A:A,CODIGOS!C:C)," "),IFERROR(LOOKUP(E523,CODIGOS!A:A,CODIGOS!D:D),""))</f>
        <v/>
      </c>
      <c r="J523" s="35" t="str">
        <f>IFERROR(LOOKUP(D523,SOCIO!B:B,SOCIO!C:C)," ")</f>
        <v xml:space="preserve"> </v>
      </c>
    </row>
    <row r="524" spans="1:10">
      <c r="A524" s="83" t="str">
        <f t="shared" si="8"/>
        <v xml:space="preserve"> </v>
      </c>
      <c r="C524" s="63" t="str">
        <f>IFERROR(LOOKUP(D524,SOCIO!B:B,SOCIO!A:A),"")</f>
        <v/>
      </c>
      <c r="F524" s="67" t="str">
        <f>IFERROR(LOOKUP(E524,CODIGOS!A:A,CODIGOS!B:B)," ")</f>
        <v xml:space="preserve"> </v>
      </c>
      <c r="H524" s="74" t="str">
        <f>IF(J524="SI",IFERROR(LOOKUP(E524,CODIGOS!A:A,CODIGOS!C:C)," "),IFERROR(LOOKUP(E524,CODIGOS!A:A,CODIGOS!D:D),""))</f>
        <v/>
      </c>
      <c r="J524" s="35" t="str">
        <f>IFERROR(LOOKUP(D524,SOCIO!B:B,SOCIO!C:C)," ")</f>
        <v xml:space="preserve"> </v>
      </c>
    </row>
    <row r="525" spans="1:10">
      <c r="A525" s="83" t="str">
        <f t="shared" si="8"/>
        <v xml:space="preserve"> </v>
      </c>
      <c r="C525" s="63" t="str">
        <f>IFERROR(LOOKUP(D525,SOCIO!B:B,SOCIO!A:A),"")</f>
        <v/>
      </c>
      <c r="F525" s="67" t="str">
        <f>IFERROR(LOOKUP(E525,CODIGOS!A:A,CODIGOS!B:B)," ")</f>
        <v xml:space="preserve"> </v>
      </c>
      <c r="H525" s="74" t="str">
        <f>IF(J525="SI",IFERROR(LOOKUP(E525,CODIGOS!A:A,CODIGOS!C:C)," "),IFERROR(LOOKUP(E525,CODIGOS!A:A,CODIGOS!D:D),""))</f>
        <v/>
      </c>
      <c r="J525" s="35" t="str">
        <f>IFERROR(LOOKUP(D525,SOCIO!B:B,SOCIO!C:C)," ")</f>
        <v xml:space="preserve"> </v>
      </c>
    </row>
    <row r="526" spans="1:10">
      <c r="A526" s="83" t="str">
        <f t="shared" si="8"/>
        <v xml:space="preserve"> </v>
      </c>
      <c r="C526" s="63" t="str">
        <f>IFERROR(LOOKUP(D526,SOCIO!B:B,SOCIO!A:A),"")</f>
        <v/>
      </c>
      <c r="F526" s="67" t="str">
        <f>IFERROR(LOOKUP(E526,CODIGOS!A:A,CODIGOS!B:B)," ")</f>
        <v xml:space="preserve"> </v>
      </c>
      <c r="H526" s="74" t="str">
        <f>IF(J526="SI",IFERROR(LOOKUP(E526,CODIGOS!A:A,CODIGOS!C:C)," "),IFERROR(LOOKUP(E526,CODIGOS!A:A,CODIGOS!D:D),""))</f>
        <v/>
      </c>
      <c r="J526" s="35" t="str">
        <f>IFERROR(LOOKUP(D526,SOCIO!B:B,SOCIO!C:C)," ")</f>
        <v xml:space="preserve"> </v>
      </c>
    </row>
    <row r="527" spans="1:10">
      <c r="A527" s="83" t="str">
        <f t="shared" si="8"/>
        <v xml:space="preserve"> </v>
      </c>
      <c r="C527" s="63" t="str">
        <f>IFERROR(LOOKUP(D527,SOCIO!B:B,SOCIO!A:A),"")</f>
        <v/>
      </c>
      <c r="F527" s="67" t="str">
        <f>IFERROR(LOOKUP(E527,CODIGOS!A:A,CODIGOS!B:B)," ")</f>
        <v xml:space="preserve"> </v>
      </c>
      <c r="H527" s="74" t="str">
        <f>IF(J527="SI",IFERROR(LOOKUP(E527,CODIGOS!A:A,CODIGOS!C:C)," "),IFERROR(LOOKUP(E527,CODIGOS!A:A,CODIGOS!D:D),""))</f>
        <v/>
      </c>
      <c r="J527" s="35" t="str">
        <f>IFERROR(LOOKUP(D527,SOCIO!B:B,SOCIO!C:C)," ")</f>
        <v xml:space="preserve"> </v>
      </c>
    </row>
    <row r="528" spans="1:10">
      <c r="A528" s="83" t="str">
        <f t="shared" si="8"/>
        <v xml:space="preserve"> </v>
      </c>
      <c r="C528" s="63" t="str">
        <f>IFERROR(LOOKUP(D528,SOCIO!B:B,SOCIO!A:A),"")</f>
        <v/>
      </c>
      <c r="F528" s="67" t="str">
        <f>IFERROR(LOOKUP(E528,CODIGOS!A:A,CODIGOS!B:B)," ")</f>
        <v xml:space="preserve"> </v>
      </c>
      <c r="H528" s="74" t="str">
        <f>IF(J528="SI",IFERROR(LOOKUP(E528,CODIGOS!A:A,CODIGOS!C:C)," "),IFERROR(LOOKUP(E528,CODIGOS!A:A,CODIGOS!D:D),""))</f>
        <v/>
      </c>
      <c r="J528" s="35" t="str">
        <f>IFERROR(LOOKUP(D528,SOCIO!B:B,SOCIO!C:C)," ")</f>
        <v xml:space="preserve"> </v>
      </c>
    </row>
    <row r="529" spans="1:10">
      <c r="A529" s="83" t="str">
        <f t="shared" si="8"/>
        <v xml:space="preserve"> </v>
      </c>
      <c r="C529" s="63" t="str">
        <f>IFERROR(LOOKUP(D529,SOCIO!B:B,SOCIO!A:A),"")</f>
        <v/>
      </c>
      <c r="F529" s="67" t="str">
        <f>IFERROR(LOOKUP(E529,CODIGOS!A:A,CODIGOS!B:B)," ")</f>
        <v xml:space="preserve"> </v>
      </c>
      <c r="H529" s="74" t="str">
        <f>IF(J529="SI",IFERROR(LOOKUP(E529,CODIGOS!A:A,CODIGOS!C:C)," "),IFERROR(LOOKUP(E529,CODIGOS!A:A,CODIGOS!D:D),""))</f>
        <v/>
      </c>
      <c r="J529" s="35" t="str">
        <f>IFERROR(LOOKUP(D529,SOCIO!B:B,SOCIO!C:C)," ")</f>
        <v xml:space="preserve"> </v>
      </c>
    </row>
    <row r="530" spans="1:10">
      <c r="A530" s="83" t="str">
        <f t="shared" si="8"/>
        <v xml:space="preserve"> </v>
      </c>
      <c r="C530" s="63" t="str">
        <f>IFERROR(LOOKUP(D530,SOCIO!B:B,SOCIO!A:A),"")</f>
        <v/>
      </c>
      <c r="F530" s="67" t="str">
        <f>IFERROR(LOOKUP(E530,CODIGOS!A:A,CODIGOS!B:B)," ")</f>
        <v xml:space="preserve"> </v>
      </c>
      <c r="H530" s="74" t="str">
        <f>IF(J530="SI",IFERROR(LOOKUP(E530,CODIGOS!A:A,CODIGOS!C:C)," "),IFERROR(LOOKUP(E530,CODIGOS!A:A,CODIGOS!D:D),""))</f>
        <v/>
      </c>
      <c r="J530" s="35" t="str">
        <f>IFERROR(LOOKUP(D530,SOCIO!B:B,SOCIO!C:C)," ")</f>
        <v xml:space="preserve"> </v>
      </c>
    </row>
    <row r="531" spans="1:10">
      <c r="A531" s="83" t="str">
        <f t="shared" si="8"/>
        <v xml:space="preserve"> </v>
      </c>
      <c r="C531" s="63" t="str">
        <f>IFERROR(LOOKUP(D531,SOCIO!B:B,SOCIO!A:A),"")</f>
        <v/>
      </c>
      <c r="F531" s="67" t="str">
        <f>IFERROR(LOOKUP(E531,CODIGOS!A:A,CODIGOS!B:B)," ")</f>
        <v xml:space="preserve"> </v>
      </c>
      <c r="H531" s="74" t="str">
        <f>IF(J531="SI",IFERROR(LOOKUP(E531,CODIGOS!A:A,CODIGOS!C:C)," "),IFERROR(LOOKUP(E531,CODIGOS!A:A,CODIGOS!D:D),""))</f>
        <v/>
      </c>
      <c r="J531" s="35" t="str">
        <f>IFERROR(LOOKUP(D531,SOCIO!B:B,SOCIO!C:C)," ")</f>
        <v xml:space="preserve"> </v>
      </c>
    </row>
    <row r="532" spans="1:10">
      <c r="A532" s="83" t="str">
        <f t="shared" si="8"/>
        <v xml:space="preserve"> </v>
      </c>
      <c r="C532" s="63" t="str">
        <f>IFERROR(LOOKUP(D532,SOCIO!B:B,SOCIO!A:A),"")</f>
        <v/>
      </c>
      <c r="F532" s="67" t="str">
        <f>IFERROR(LOOKUP(E532,CODIGOS!A:A,CODIGOS!B:B)," ")</f>
        <v xml:space="preserve"> </v>
      </c>
      <c r="H532" s="74" t="str">
        <f>IF(J532="SI",IFERROR(LOOKUP(E532,CODIGOS!A:A,CODIGOS!C:C)," "),IFERROR(LOOKUP(E532,CODIGOS!A:A,CODIGOS!D:D),""))</f>
        <v/>
      </c>
      <c r="J532" s="35" t="str">
        <f>IFERROR(LOOKUP(D532,SOCIO!B:B,SOCIO!C:C)," ")</f>
        <v xml:space="preserve"> </v>
      </c>
    </row>
    <row r="533" spans="1:10">
      <c r="A533" s="83" t="str">
        <f t="shared" si="8"/>
        <v xml:space="preserve"> </v>
      </c>
      <c r="C533" s="63" t="str">
        <f>IFERROR(LOOKUP(D533,SOCIO!B:B,SOCIO!A:A),"")</f>
        <v/>
      </c>
      <c r="F533" s="67" t="str">
        <f>IFERROR(LOOKUP(E533,CODIGOS!A:A,CODIGOS!B:B)," ")</f>
        <v xml:space="preserve"> </v>
      </c>
      <c r="H533" s="74" t="str">
        <f>IF(J533="SI",IFERROR(LOOKUP(E533,CODIGOS!A:A,CODIGOS!C:C)," "),IFERROR(LOOKUP(E533,CODIGOS!A:A,CODIGOS!D:D),""))</f>
        <v/>
      </c>
      <c r="J533" s="35" t="str">
        <f>IFERROR(LOOKUP(D533,SOCIO!B:B,SOCIO!C:C)," ")</f>
        <v xml:space="preserve"> </v>
      </c>
    </row>
    <row r="534" spans="1:10">
      <c r="A534" s="83" t="str">
        <f t="shared" si="8"/>
        <v xml:space="preserve"> </v>
      </c>
      <c r="C534" s="63" t="str">
        <f>IFERROR(LOOKUP(D534,SOCIO!B:B,SOCIO!A:A),"")</f>
        <v/>
      </c>
      <c r="F534" s="67" t="str">
        <f>IFERROR(LOOKUP(E534,CODIGOS!A:A,CODIGOS!B:B)," ")</f>
        <v xml:space="preserve"> </v>
      </c>
      <c r="H534" s="74" t="str">
        <f>IF(J534="SI",IFERROR(LOOKUP(E534,CODIGOS!A:A,CODIGOS!C:C)," "),IFERROR(LOOKUP(E534,CODIGOS!A:A,CODIGOS!D:D),""))</f>
        <v/>
      </c>
      <c r="J534" s="35" t="str">
        <f>IFERROR(LOOKUP(D534,SOCIO!B:B,SOCIO!C:C)," ")</f>
        <v xml:space="preserve"> </v>
      </c>
    </row>
    <row r="535" spans="1:10">
      <c r="A535" s="83" t="str">
        <f t="shared" si="8"/>
        <v xml:space="preserve"> </v>
      </c>
      <c r="C535" s="63" t="str">
        <f>IFERROR(LOOKUP(D535,SOCIO!B:B,SOCIO!A:A),"")</f>
        <v/>
      </c>
      <c r="F535" s="67" t="str">
        <f>IFERROR(LOOKUP(E535,CODIGOS!A:A,CODIGOS!B:B)," ")</f>
        <v xml:space="preserve"> </v>
      </c>
      <c r="H535" s="74" t="str">
        <f>IF(J535="SI",IFERROR(LOOKUP(E535,CODIGOS!A:A,CODIGOS!C:C)," "),IFERROR(LOOKUP(E535,CODIGOS!A:A,CODIGOS!D:D),""))</f>
        <v/>
      </c>
      <c r="J535" s="35" t="str">
        <f>IFERROR(LOOKUP(D535,SOCIO!B:B,SOCIO!C:C)," ")</f>
        <v xml:space="preserve"> </v>
      </c>
    </row>
    <row r="536" spans="1:10">
      <c r="A536" s="83" t="str">
        <f t="shared" si="8"/>
        <v xml:space="preserve"> </v>
      </c>
      <c r="C536" s="63" t="str">
        <f>IFERROR(LOOKUP(D536,SOCIO!B:B,SOCIO!A:A),"")</f>
        <v/>
      </c>
      <c r="F536" s="67" t="str">
        <f>IFERROR(LOOKUP(E536,CODIGOS!A:A,CODIGOS!B:B)," ")</f>
        <v xml:space="preserve"> </v>
      </c>
      <c r="H536" s="74" t="str">
        <f>IF(J536="SI",IFERROR(LOOKUP(E536,CODIGOS!A:A,CODIGOS!C:C)," "),IFERROR(LOOKUP(E536,CODIGOS!A:A,CODIGOS!D:D),""))</f>
        <v/>
      </c>
      <c r="J536" s="35" t="str">
        <f>IFERROR(LOOKUP(D536,SOCIO!B:B,SOCIO!C:C)," ")</f>
        <v xml:space="preserve"> </v>
      </c>
    </row>
    <row r="537" spans="1:10">
      <c r="A537" s="83" t="str">
        <f t="shared" si="8"/>
        <v xml:space="preserve"> </v>
      </c>
      <c r="C537" s="63" t="str">
        <f>IFERROR(LOOKUP(D537,SOCIO!B:B,SOCIO!A:A),"")</f>
        <v/>
      </c>
      <c r="F537" s="67" t="str">
        <f>IFERROR(LOOKUP(E537,CODIGOS!A:A,CODIGOS!B:B)," ")</f>
        <v xml:space="preserve"> </v>
      </c>
      <c r="H537" s="74" t="str">
        <f>IF(J537="SI",IFERROR(LOOKUP(E537,CODIGOS!A:A,CODIGOS!C:C)," "),IFERROR(LOOKUP(E537,CODIGOS!A:A,CODIGOS!D:D),""))</f>
        <v/>
      </c>
      <c r="J537" s="35" t="str">
        <f>IFERROR(LOOKUP(D537,SOCIO!B:B,SOCIO!C:C)," ")</f>
        <v xml:space="preserve"> </v>
      </c>
    </row>
    <row r="538" spans="1:10">
      <c r="A538" s="83" t="str">
        <f t="shared" si="8"/>
        <v xml:space="preserve"> </v>
      </c>
      <c r="C538" s="63" t="str">
        <f>IFERROR(LOOKUP(D538,SOCIO!B:B,SOCIO!A:A),"")</f>
        <v/>
      </c>
      <c r="F538" s="67" t="str">
        <f>IFERROR(LOOKUP(E538,CODIGOS!A:A,CODIGOS!B:B)," ")</f>
        <v xml:space="preserve"> </v>
      </c>
      <c r="H538" s="74" t="str">
        <f>IF(J538="SI",IFERROR(LOOKUP(E538,CODIGOS!A:A,CODIGOS!C:C)," "),IFERROR(LOOKUP(E538,CODIGOS!A:A,CODIGOS!D:D),""))</f>
        <v/>
      </c>
      <c r="J538" s="35" t="str">
        <f>IFERROR(LOOKUP(D538,SOCIO!B:B,SOCIO!C:C)," ")</f>
        <v xml:space="preserve"> </v>
      </c>
    </row>
    <row r="539" spans="1:10">
      <c r="A539" s="83" t="str">
        <f t="shared" si="8"/>
        <v xml:space="preserve"> </v>
      </c>
      <c r="C539" s="63" t="str">
        <f>IFERROR(LOOKUP(D539,SOCIO!B:B,SOCIO!A:A),"")</f>
        <v/>
      </c>
      <c r="F539" s="67" t="str">
        <f>IFERROR(LOOKUP(E539,CODIGOS!A:A,CODIGOS!B:B)," ")</f>
        <v xml:space="preserve"> </v>
      </c>
      <c r="H539" s="74" t="str">
        <f>IF(J539="SI",IFERROR(LOOKUP(E539,CODIGOS!A:A,CODIGOS!C:C)," "),IFERROR(LOOKUP(E539,CODIGOS!A:A,CODIGOS!D:D),""))</f>
        <v/>
      </c>
      <c r="J539" s="35" t="str">
        <f>IFERROR(LOOKUP(D539,SOCIO!B:B,SOCIO!C:C)," ")</f>
        <v xml:space="preserve"> </v>
      </c>
    </row>
    <row r="540" spans="1:10">
      <c r="A540" s="83" t="str">
        <f t="shared" si="8"/>
        <v xml:space="preserve"> </v>
      </c>
      <c r="C540" s="63" t="str">
        <f>IFERROR(LOOKUP(D540,SOCIO!B:B,SOCIO!A:A),"")</f>
        <v/>
      </c>
      <c r="F540" s="67" t="str">
        <f>IFERROR(LOOKUP(E540,CODIGOS!A:A,CODIGOS!B:B)," ")</f>
        <v xml:space="preserve"> </v>
      </c>
      <c r="H540" s="74" t="str">
        <f>IF(J540="SI",IFERROR(LOOKUP(E540,CODIGOS!A:A,CODIGOS!C:C)," "),IFERROR(LOOKUP(E540,CODIGOS!A:A,CODIGOS!D:D),""))</f>
        <v/>
      </c>
      <c r="J540" s="35" t="str">
        <f>IFERROR(LOOKUP(D540,SOCIO!B:B,SOCIO!C:C)," ")</f>
        <v xml:space="preserve"> </v>
      </c>
    </row>
    <row r="541" spans="1:10">
      <c r="A541" s="83" t="str">
        <f t="shared" si="8"/>
        <v xml:space="preserve"> </v>
      </c>
      <c r="C541" s="63" t="str">
        <f>IFERROR(LOOKUP(D541,SOCIO!B:B,SOCIO!A:A),"")</f>
        <v/>
      </c>
      <c r="F541" s="67" t="str">
        <f>IFERROR(LOOKUP(E541,CODIGOS!A:A,CODIGOS!B:B)," ")</f>
        <v xml:space="preserve"> </v>
      </c>
      <c r="H541" s="74" t="str">
        <f>IF(J541="SI",IFERROR(LOOKUP(E541,CODIGOS!A:A,CODIGOS!C:C)," "),IFERROR(LOOKUP(E541,CODIGOS!A:A,CODIGOS!D:D),""))</f>
        <v/>
      </c>
      <c r="J541" s="35" t="str">
        <f>IFERROR(LOOKUP(D541,SOCIO!B:B,SOCIO!C:C)," ")</f>
        <v xml:space="preserve"> </v>
      </c>
    </row>
    <row r="542" spans="1:10">
      <c r="A542" s="83" t="str">
        <f t="shared" si="8"/>
        <v xml:space="preserve"> </v>
      </c>
      <c r="C542" s="63" t="str">
        <f>IFERROR(LOOKUP(D542,SOCIO!B:B,SOCIO!A:A),"")</f>
        <v/>
      </c>
      <c r="F542" s="67" t="str">
        <f>IFERROR(LOOKUP(E542,CODIGOS!A:A,CODIGOS!B:B)," ")</f>
        <v xml:space="preserve"> </v>
      </c>
      <c r="H542" s="74" t="str">
        <f>IF(J542="SI",IFERROR(LOOKUP(E542,CODIGOS!A:A,CODIGOS!C:C)," "),IFERROR(LOOKUP(E542,CODIGOS!A:A,CODIGOS!D:D),""))</f>
        <v/>
      </c>
      <c r="J542" s="35" t="str">
        <f>IFERROR(LOOKUP(D542,SOCIO!B:B,SOCIO!C:C)," ")</f>
        <v xml:space="preserve"> </v>
      </c>
    </row>
    <row r="543" spans="1:10">
      <c r="A543" s="83" t="str">
        <f t="shared" si="8"/>
        <v xml:space="preserve"> </v>
      </c>
      <c r="C543" s="63" t="str">
        <f>IFERROR(LOOKUP(D543,SOCIO!B:B,SOCIO!A:A),"")</f>
        <v/>
      </c>
      <c r="F543" s="67" t="str">
        <f>IFERROR(LOOKUP(E543,CODIGOS!A:A,CODIGOS!B:B)," ")</f>
        <v xml:space="preserve"> </v>
      </c>
      <c r="H543" s="74" t="str">
        <f>IF(J543="SI",IFERROR(LOOKUP(E543,CODIGOS!A:A,CODIGOS!C:C)," "),IFERROR(LOOKUP(E543,CODIGOS!A:A,CODIGOS!D:D),""))</f>
        <v/>
      </c>
      <c r="J543" s="35" t="str">
        <f>IFERROR(LOOKUP(D543,SOCIO!B:B,SOCIO!C:C)," ")</f>
        <v xml:space="preserve"> </v>
      </c>
    </row>
    <row r="544" spans="1:10">
      <c r="A544" s="83" t="str">
        <f t="shared" si="8"/>
        <v xml:space="preserve"> </v>
      </c>
      <c r="C544" s="63" t="str">
        <f>IFERROR(LOOKUP(D544,SOCIO!B:B,SOCIO!A:A),"")</f>
        <v/>
      </c>
      <c r="F544" s="67" t="str">
        <f>IFERROR(LOOKUP(E544,CODIGOS!A:A,CODIGOS!B:B)," ")</f>
        <v xml:space="preserve"> </v>
      </c>
      <c r="H544" s="74" t="str">
        <f>IF(J544="SI",IFERROR(LOOKUP(E544,CODIGOS!A:A,CODIGOS!C:C)," "),IFERROR(LOOKUP(E544,CODIGOS!A:A,CODIGOS!D:D),""))</f>
        <v/>
      </c>
      <c r="J544" s="35" t="str">
        <f>IFERROR(LOOKUP(D544,SOCIO!B:B,SOCIO!C:C)," ")</f>
        <v xml:space="preserve"> </v>
      </c>
    </row>
    <row r="545" spans="1:10">
      <c r="A545" s="83" t="str">
        <f t="shared" si="8"/>
        <v xml:space="preserve"> </v>
      </c>
      <c r="C545" s="63" t="str">
        <f>IFERROR(LOOKUP(D545,SOCIO!B:B,SOCIO!A:A),"")</f>
        <v/>
      </c>
      <c r="F545" s="67" t="str">
        <f>IFERROR(LOOKUP(E545,CODIGOS!A:A,CODIGOS!B:B)," ")</f>
        <v xml:space="preserve"> </v>
      </c>
      <c r="H545" s="74" t="str">
        <f>IF(J545="SI",IFERROR(LOOKUP(E545,CODIGOS!A:A,CODIGOS!C:C)," "),IFERROR(LOOKUP(E545,CODIGOS!A:A,CODIGOS!D:D),""))</f>
        <v/>
      </c>
      <c r="J545" s="35" t="str">
        <f>IFERROR(LOOKUP(D545,SOCIO!B:B,SOCIO!C:C)," ")</f>
        <v xml:space="preserve"> </v>
      </c>
    </row>
    <row r="546" spans="1:10">
      <c r="A546" s="83" t="str">
        <f t="shared" si="8"/>
        <v xml:space="preserve"> </v>
      </c>
      <c r="C546" s="63" t="str">
        <f>IFERROR(LOOKUP(D546,SOCIO!B:B,SOCIO!A:A),"")</f>
        <v/>
      </c>
      <c r="F546" s="67" t="str">
        <f>IFERROR(LOOKUP(E546,CODIGOS!A:A,CODIGOS!B:B)," ")</f>
        <v xml:space="preserve"> </v>
      </c>
      <c r="H546" s="74" t="str">
        <f>IF(J546="SI",IFERROR(LOOKUP(E546,CODIGOS!A:A,CODIGOS!C:C)," "),IFERROR(LOOKUP(E546,CODIGOS!A:A,CODIGOS!D:D),""))</f>
        <v/>
      </c>
      <c r="J546" s="35" t="str">
        <f>IFERROR(LOOKUP(D546,SOCIO!B:B,SOCIO!C:C)," ")</f>
        <v xml:space="preserve"> </v>
      </c>
    </row>
    <row r="547" spans="1:10">
      <c r="A547" s="83" t="str">
        <f t="shared" si="8"/>
        <v xml:space="preserve"> </v>
      </c>
      <c r="C547" s="63" t="str">
        <f>IFERROR(LOOKUP(D547,SOCIO!B:B,SOCIO!A:A),"")</f>
        <v/>
      </c>
      <c r="F547" s="67" t="str">
        <f>IFERROR(LOOKUP(E547,CODIGOS!A:A,CODIGOS!B:B)," ")</f>
        <v xml:space="preserve"> </v>
      </c>
      <c r="H547" s="74" t="str">
        <f>IF(J547="SI",IFERROR(LOOKUP(E547,CODIGOS!A:A,CODIGOS!C:C)," "),IFERROR(LOOKUP(E547,CODIGOS!A:A,CODIGOS!D:D),""))</f>
        <v/>
      </c>
      <c r="J547" s="35" t="str">
        <f>IFERROR(LOOKUP(D547,SOCIO!B:B,SOCIO!C:C)," ")</f>
        <v xml:space="preserve"> </v>
      </c>
    </row>
    <row r="548" spans="1:10">
      <c r="A548" s="83" t="str">
        <f t="shared" si="8"/>
        <v xml:space="preserve"> </v>
      </c>
      <c r="C548" s="63" t="str">
        <f>IFERROR(LOOKUP(D548,SOCIO!B:B,SOCIO!A:A),"")</f>
        <v/>
      </c>
      <c r="F548" s="67" t="str">
        <f>IFERROR(LOOKUP(E548,CODIGOS!A:A,CODIGOS!B:B)," ")</f>
        <v xml:space="preserve"> </v>
      </c>
      <c r="H548" s="74" t="str">
        <f>IF(J548="SI",IFERROR(LOOKUP(E548,CODIGOS!A:A,CODIGOS!C:C)," "),IFERROR(LOOKUP(E548,CODIGOS!A:A,CODIGOS!D:D),""))</f>
        <v/>
      </c>
      <c r="J548" s="35" t="str">
        <f>IFERROR(LOOKUP(D548,SOCIO!B:B,SOCIO!C:C)," ")</f>
        <v xml:space="preserve"> </v>
      </c>
    </row>
    <row r="549" spans="1:10">
      <c r="A549" s="83" t="str">
        <f t="shared" si="8"/>
        <v xml:space="preserve"> </v>
      </c>
      <c r="C549" s="63" t="str">
        <f>IFERROR(LOOKUP(D549,SOCIO!B:B,SOCIO!A:A),"")</f>
        <v/>
      </c>
      <c r="F549" s="67" t="str">
        <f>IFERROR(LOOKUP(E549,CODIGOS!A:A,CODIGOS!B:B)," ")</f>
        <v xml:space="preserve"> </v>
      </c>
      <c r="H549" s="74" t="str">
        <f>IF(J549="SI",IFERROR(LOOKUP(E549,CODIGOS!A:A,CODIGOS!C:C)," "),IFERROR(LOOKUP(E549,CODIGOS!A:A,CODIGOS!D:D),""))</f>
        <v/>
      </c>
      <c r="J549" s="35" t="str">
        <f>IFERROR(LOOKUP(D549,SOCIO!B:B,SOCIO!C:C)," ")</f>
        <v xml:space="preserve"> </v>
      </c>
    </row>
    <row r="550" spans="1:10">
      <c r="A550" s="83" t="str">
        <f t="shared" si="8"/>
        <v xml:space="preserve"> </v>
      </c>
      <c r="C550" s="63" t="str">
        <f>IFERROR(LOOKUP(D550,SOCIO!B:B,SOCIO!A:A),"")</f>
        <v/>
      </c>
      <c r="F550" s="67" t="str">
        <f>IFERROR(LOOKUP(E550,CODIGOS!A:A,CODIGOS!B:B)," ")</f>
        <v xml:space="preserve"> </v>
      </c>
      <c r="H550" s="74" t="str">
        <f>IF(J550="SI",IFERROR(LOOKUP(E550,CODIGOS!A:A,CODIGOS!C:C)," "),IFERROR(LOOKUP(E550,CODIGOS!A:A,CODIGOS!D:D),""))</f>
        <v/>
      </c>
      <c r="J550" s="35" t="str">
        <f>IFERROR(LOOKUP(D550,SOCIO!B:B,SOCIO!C:C)," ")</f>
        <v xml:space="preserve"> </v>
      </c>
    </row>
    <row r="551" spans="1:10">
      <c r="A551" s="83" t="str">
        <f t="shared" si="8"/>
        <v xml:space="preserve"> </v>
      </c>
      <c r="C551" s="63" t="str">
        <f>IFERROR(LOOKUP(D551,SOCIO!B:B,SOCIO!A:A),"")</f>
        <v/>
      </c>
      <c r="F551" s="67" t="str">
        <f>IFERROR(LOOKUP(E551,CODIGOS!A:A,CODIGOS!B:B)," ")</f>
        <v xml:space="preserve"> </v>
      </c>
      <c r="H551" s="74" t="str">
        <f>IF(J551="SI",IFERROR(LOOKUP(E551,CODIGOS!A:A,CODIGOS!C:C)," "),IFERROR(LOOKUP(E551,CODIGOS!A:A,CODIGOS!D:D),""))</f>
        <v/>
      </c>
      <c r="J551" s="35" t="str">
        <f>IFERROR(LOOKUP(D551,SOCIO!B:B,SOCIO!C:C)," ")</f>
        <v xml:space="preserve"> </v>
      </c>
    </row>
    <row r="552" spans="1:10">
      <c r="A552" s="83" t="str">
        <f t="shared" si="8"/>
        <v xml:space="preserve"> </v>
      </c>
      <c r="C552" s="63" t="str">
        <f>IFERROR(LOOKUP(D552,SOCIO!B:B,SOCIO!A:A),"")</f>
        <v/>
      </c>
      <c r="F552" s="67" t="str">
        <f>IFERROR(LOOKUP(E552,CODIGOS!A:A,CODIGOS!B:B)," ")</f>
        <v xml:space="preserve"> </v>
      </c>
      <c r="H552" s="74" t="str">
        <f>IF(J552="SI",IFERROR(LOOKUP(E552,CODIGOS!A:A,CODIGOS!C:C)," "),IFERROR(LOOKUP(E552,CODIGOS!A:A,CODIGOS!D:D),""))</f>
        <v/>
      </c>
      <c r="J552" s="35" t="str">
        <f>IFERROR(LOOKUP(D552,SOCIO!B:B,SOCIO!C:C)," ")</f>
        <v xml:space="preserve"> </v>
      </c>
    </row>
    <row r="553" spans="1:10">
      <c r="A553" s="83" t="str">
        <f t="shared" si="8"/>
        <v xml:space="preserve"> </v>
      </c>
      <c r="C553" s="63" t="str">
        <f>IFERROR(LOOKUP(D553,SOCIO!B:B,SOCIO!A:A),"")</f>
        <v/>
      </c>
      <c r="F553" s="67" t="str">
        <f>IFERROR(LOOKUP(E553,CODIGOS!A:A,CODIGOS!B:B)," ")</f>
        <v xml:space="preserve"> </v>
      </c>
      <c r="H553" s="74" t="str">
        <f>IF(J553="SI",IFERROR(LOOKUP(E553,CODIGOS!A:A,CODIGOS!C:C)," "),IFERROR(LOOKUP(E553,CODIGOS!A:A,CODIGOS!D:D),""))</f>
        <v/>
      </c>
      <c r="J553" s="35" t="str">
        <f>IFERROR(LOOKUP(D553,SOCIO!B:B,SOCIO!C:C)," ")</f>
        <v xml:space="preserve"> </v>
      </c>
    </row>
    <row r="554" spans="1:10">
      <c r="A554" s="83" t="str">
        <f t="shared" si="8"/>
        <v xml:space="preserve"> </v>
      </c>
      <c r="C554" s="63" t="str">
        <f>IFERROR(LOOKUP(D554,SOCIO!B:B,SOCIO!A:A),"")</f>
        <v/>
      </c>
      <c r="F554" s="67" t="str">
        <f>IFERROR(LOOKUP(E554,CODIGOS!A:A,CODIGOS!B:B)," ")</f>
        <v xml:space="preserve"> </v>
      </c>
      <c r="H554" s="74" t="str">
        <f>IF(J554="SI",IFERROR(LOOKUP(E554,CODIGOS!A:A,CODIGOS!C:C)," "),IFERROR(LOOKUP(E554,CODIGOS!A:A,CODIGOS!D:D),""))</f>
        <v/>
      </c>
      <c r="J554" s="35" t="str">
        <f>IFERROR(LOOKUP(D554,SOCIO!B:B,SOCIO!C:C)," ")</f>
        <v xml:space="preserve"> </v>
      </c>
    </row>
    <row r="555" spans="1:10">
      <c r="A555" s="83" t="str">
        <f t="shared" si="8"/>
        <v xml:space="preserve"> </v>
      </c>
      <c r="C555" s="63" t="str">
        <f>IFERROR(LOOKUP(D555,SOCIO!B:B,SOCIO!A:A),"")</f>
        <v/>
      </c>
      <c r="F555" s="67" t="str">
        <f>IFERROR(LOOKUP(E555,CODIGOS!A:A,CODIGOS!B:B)," ")</f>
        <v xml:space="preserve"> </v>
      </c>
      <c r="H555" s="74" t="str">
        <f>IF(J555="SI",IFERROR(LOOKUP(E555,CODIGOS!A:A,CODIGOS!C:C)," "),IFERROR(LOOKUP(E555,CODIGOS!A:A,CODIGOS!D:D),""))</f>
        <v/>
      </c>
      <c r="J555" s="35" t="str">
        <f>IFERROR(LOOKUP(D555,SOCIO!B:B,SOCIO!C:C)," ")</f>
        <v xml:space="preserve"> </v>
      </c>
    </row>
    <row r="556" spans="1:10">
      <c r="A556" s="83" t="str">
        <f t="shared" si="8"/>
        <v xml:space="preserve"> </v>
      </c>
      <c r="C556" s="63" t="str">
        <f>IFERROR(LOOKUP(D556,SOCIO!B:B,SOCIO!A:A),"")</f>
        <v/>
      </c>
      <c r="F556" s="67" t="str">
        <f>IFERROR(LOOKUP(E556,CODIGOS!A:A,CODIGOS!B:B)," ")</f>
        <v xml:space="preserve"> </v>
      </c>
      <c r="H556" s="74" t="str">
        <f>IF(J556="SI",IFERROR(LOOKUP(E556,CODIGOS!A:A,CODIGOS!C:C)," "),IFERROR(LOOKUP(E556,CODIGOS!A:A,CODIGOS!D:D),""))</f>
        <v/>
      </c>
      <c r="J556" s="35" t="str">
        <f>IFERROR(LOOKUP(D556,SOCIO!B:B,SOCIO!C:C)," ")</f>
        <v xml:space="preserve"> </v>
      </c>
    </row>
    <row r="557" spans="1:10">
      <c r="A557" s="83" t="str">
        <f t="shared" si="8"/>
        <v xml:space="preserve"> </v>
      </c>
      <c r="C557" s="63" t="str">
        <f>IFERROR(LOOKUP(D557,SOCIO!B:B,SOCIO!A:A),"")</f>
        <v/>
      </c>
      <c r="F557" s="67" t="str">
        <f>IFERROR(LOOKUP(E557,CODIGOS!A:A,CODIGOS!B:B)," ")</f>
        <v xml:space="preserve"> </v>
      </c>
      <c r="H557" s="74" t="str">
        <f>IF(J557="SI",IFERROR(LOOKUP(E557,CODIGOS!A:A,CODIGOS!C:C)," "),IFERROR(LOOKUP(E557,CODIGOS!A:A,CODIGOS!D:D),""))</f>
        <v/>
      </c>
      <c r="J557" s="35" t="str">
        <f>IFERROR(LOOKUP(D557,SOCIO!B:B,SOCIO!C:C)," ")</f>
        <v xml:space="preserve"> </v>
      </c>
    </row>
    <row r="558" spans="1:10">
      <c r="A558" s="83" t="str">
        <f t="shared" si="8"/>
        <v xml:space="preserve"> </v>
      </c>
      <c r="C558" s="63" t="str">
        <f>IFERROR(LOOKUP(D558,SOCIO!B:B,SOCIO!A:A),"")</f>
        <v/>
      </c>
      <c r="F558" s="67" t="str">
        <f>IFERROR(LOOKUP(E558,CODIGOS!A:A,CODIGOS!B:B)," ")</f>
        <v xml:space="preserve"> </v>
      </c>
      <c r="H558" s="74" t="str">
        <f>IF(J558="SI",IFERROR(LOOKUP(E558,CODIGOS!A:A,CODIGOS!C:C)," "),IFERROR(LOOKUP(E558,CODIGOS!A:A,CODIGOS!D:D),""))</f>
        <v/>
      </c>
      <c r="J558" s="35" t="str">
        <f>IFERROR(LOOKUP(D558,SOCIO!B:B,SOCIO!C:C)," ")</f>
        <v xml:space="preserve"> </v>
      </c>
    </row>
    <row r="559" spans="1:10">
      <c r="A559" s="83" t="str">
        <f t="shared" si="8"/>
        <v xml:space="preserve"> </v>
      </c>
      <c r="C559" s="63" t="str">
        <f>IFERROR(LOOKUP(D559,SOCIO!B:B,SOCIO!A:A),"")</f>
        <v/>
      </c>
      <c r="F559" s="67" t="str">
        <f>IFERROR(LOOKUP(E559,CODIGOS!A:A,CODIGOS!B:B)," ")</f>
        <v xml:space="preserve"> </v>
      </c>
      <c r="H559" s="74" t="str">
        <f>IF(J559="SI",IFERROR(LOOKUP(E559,CODIGOS!A:A,CODIGOS!C:C)," "),IFERROR(LOOKUP(E559,CODIGOS!A:A,CODIGOS!D:D),""))</f>
        <v/>
      </c>
      <c r="J559" s="35" t="str">
        <f>IFERROR(LOOKUP(D559,SOCIO!B:B,SOCIO!C:C)," ")</f>
        <v xml:space="preserve"> </v>
      </c>
    </row>
    <row r="560" spans="1:10">
      <c r="A560" s="83" t="str">
        <f t="shared" si="8"/>
        <v xml:space="preserve"> </v>
      </c>
      <c r="C560" s="63" t="str">
        <f>IFERROR(LOOKUP(D560,SOCIO!B:B,SOCIO!A:A),"")</f>
        <v/>
      </c>
      <c r="F560" s="67" t="str">
        <f>IFERROR(LOOKUP(E560,CODIGOS!A:A,CODIGOS!B:B)," ")</f>
        <v xml:space="preserve"> </v>
      </c>
      <c r="H560" s="74" t="str">
        <f>IF(J560="SI",IFERROR(LOOKUP(E560,CODIGOS!A:A,CODIGOS!C:C)," "),IFERROR(LOOKUP(E560,CODIGOS!A:A,CODIGOS!D:D),""))</f>
        <v/>
      </c>
      <c r="J560" s="35" t="str">
        <f>IFERROR(LOOKUP(D560,SOCIO!B:B,SOCIO!C:C)," ")</f>
        <v xml:space="preserve"> </v>
      </c>
    </row>
    <row r="561" spans="1:10">
      <c r="A561" s="83" t="str">
        <f t="shared" si="8"/>
        <v xml:space="preserve"> </v>
      </c>
      <c r="C561" s="63" t="str">
        <f>IFERROR(LOOKUP(D561,SOCIO!B:B,SOCIO!A:A),"")</f>
        <v/>
      </c>
      <c r="F561" s="67" t="str">
        <f>IFERROR(LOOKUP(E561,CODIGOS!A:A,CODIGOS!B:B)," ")</f>
        <v xml:space="preserve"> </v>
      </c>
      <c r="H561" s="74" t="str">
        <f>IF(J561="SI",IFERROR(LOOKUP(E561,CODIGOS!A:A,CODIGOS!C:C)," "),IFERROR(LOOKUP(E561,CODIGOS!A:A,CODIGOS!D:D),""))</f>
        <v/>
      </c>
      <c r="J561" s="35" t="str">
        <f>IFERROR(LOOKUP(D561,SOCIO!B:B,SOCIO!C:C)," ")</f>
        <v xml:space="preserve"> </v>
      </c>
    </row>
    <row r="562" spans="1:10">
      <c r="A562" s="83" t="str">
        <f t="shared" si="8"/>
        <v xml:space="preserve"> </v>
      </c>
      <c r="C562" s="63" t="str">
        <f>IFERROR(LOOKUP(D562,SOCIO!B:B,SOCIO!A:A),"")</f>
        <v/>
      </c>
      <c r="F562" s="67" t="str">
        <f>IFERROR(LOOKUP(E562,CODIGOS!A:A,CODIGOS!B:B)," ")</f>
        <v xml:space="preserve"> </v>
      </c>
      <c r="H562" s="74" t="str">
        <f>IF(J562="SI",IFERROR(LOOKUP(E562,CODIGOS!A:A,CODIGOS!C:C)," "),IFERROR(LOOKUP(E562,CODIGOS!A:A,CODIGOS!D:D),""))</f>
        <v/>
      </c>
      <c r="J562" s="35" t="str">
        <f>IFERROR(LOOKUP(D562,SOCIO!B:B,SOCIO!C:C)," ")</f>
        <v xml:space="preserve"> </v>
      </c>
    </row>
    <row r="563" spans="1:10">
      <c r="A563" s="83" t="str">
        <f t="shared" si="8"/>
        <v xml:space="preserve"> </v>
      </c>
      <c r="C563" s="63" t="str">
        <f>IFERROR(LOOKUP(D563,SOCIO!B:B,SOCIO!A:A),"")</f>
        <v/>
      </c>
      <c r="F563" s="67" t="str">
        <f>IFERROR(LOOKUP(E563,CODIGOS!A:A,CODIGOS!B:B)," ")</f>
        <v xml:space="preserve"> </v>
      </c>
      <c r="H563" s="74" t="str">
        <f>IF(J563="SI",IFERROR(LOOKUP(E563,CODIGOS!A:A,CODIGOS!C:C)," "),IFERROR(LOOKUP(E563,CODIGOS!A:A,CODIGOS!D:D),""))</f>
        <v/>
      </c>
      <c r="J563" s="35" t="str">
        <f>IFERROR(LOOKUP(D563,SOCIO!B:B,SOCIO!C:C)," ")</f>
        <v xml:space="preserve"> </v>
      </c>
    </row>
    <row r="564" spans="1:10">
      <c r="A564" s="83" t="str">
        <f t="shared" si="8"/>
        <v xml:space="preserve"> </v>
      </c>
      <c r="C564" s="63" t="str">
        <f>IFERROR(LOOKUP(D564,SOCIO!B:B,SOCIO!A:A),"")</f>
        <v/>
      </c>
      <c r="F564" s="67" t="str">
        <f>IFERROR(LOOKUP(E564,CODIGOS!A:A,CODIGOS!B:B)," ")</f>
        <v xml:space="preserve"> </v>
      </c>
      <c r="H564" s="74" t="str">
        <f>IF(J564="SI",IFERROR(LOOKUP(E564,CODIGOS!A:A,CODIGOS!C:C)," "),IFERROR(LOOKUP(E564,CODIGOS!A:A,CODIGOS!D:D),""))</f>
        <v/>
      </c>
      <c r="J564" s="35" t="str">
        <f>IFERROR(LOOKUP(D564,SOCIO!B:B,SOCIO!C:C)," ")</f>
        <v xml:space="preserve"> </v>
      </c>
    </row>
    <row r="565" spans="1:10">
      <c r="A565" s="83" t="str">
        <f t="shared" si="8"/>
        <v xml:space="preserve"> </v>
      </c>
      <c r="C565" s="63" t="str">
        <f>IFERROR(LOOKUP(D565,SOCIO!B:B,SOCIO!A:A),"")</f>
        <v/>
      </c>
      <c r="F565" s="67" t="str">
        <f>IFERROR(LOOKUP(E565,CODIGOS!A:A,CODIGOS!B:B)," ")</f>
        <v xml:space="preserve"> </v>
      </c>
      <c r="H565" s="74" t="str">
        <f>IF(J565="SI",IFERROR(LOOKUP(E565,CODIGOS!A:A,CODIGOS!C:C)," "),IFERROR(LOOKUP(E565,CODIGOS!A:A,CODIGOS!D:D),""))</f>
        <v/>
      </c>
      <c r="J565" s="35" t="str">
        <f>IFERROR(LOOKUP(D565,SOCIO!B:B,SOCIO!C:C)," ")</f>
        <v xml:space="preserve"> </v>
      </c>
    </row>
    <row r="566" spans="1:10">
      <c r="A566" s="83" t="str">
        <f t="shared" si="8"/>
        <v xml:space="preserve"> </v>
      </c>
      <c r="C566" s="63" t="str">
        <f>IFERROR(LOOKUP(D566,SOCIO!B:B,SOCIO!A:A),"")</f>
        <v/>
      </c>
      <c r="F566" s="67" t="str">
        <f>IFERROR(LOOKUP(E566,CODIGOS!A:A,CODIGOS!B:B)," ")</f>
        <v xml:space="preserve"> </v>
      </c>
      <c r="H566" s="74" t="str">
        <f>IF(J566="SI",IFERROR(LOOKUP(E566,CODIGOS!A:A,CODIGOS!C:C)," "),IFERROR(LOOKUP(E566,CODIGOS!A:A,CODIGOS!D:D),""))</f>
        <v/>
      </c>
      <c r="J566" s="35" t="str">
        <f>IFERROR(LOOKUP(D566,SOCIO!B:B,SOCIO!C:C)," ")</f>
        <v xml:space="preserve"> </v>
      </c>
    </row>
    <row r="567" spans="1:10">
      <c r="A567" s="83" t="str">
        <f t="shared" si="8"/>
        <v xml:space="preserve"> </v>
      </c>
      <c r="C567" s="63" t="str">
        <f>IFERROR(LOOKUP(D567,SOCIO!B:B,SOCIO!A:A),"")</f>
        <v/>
      </c>
      <c r="F567" s="67" t="str">
        <f>IFERROR(LOOKUP(E567,CODIGOS!A:A,CODIGOS!B:B)," ")</f>
        <v xml:space="preserve"> </v>
      </c>
      <c r="H567" s="74" t="str">
        <f>IF(J567="SI",IFERROR(LOOKUP(E567,CODIGOS!A:A,CODIGOS!C:C)," "),IFERROR(LOOKUP(E567,CODIGOS!A:A,CODIGOS!D:D),""))</f>
        <v/>
      </c>
      <c r="J567" s="35" t="str">
        <f>IFERROR(LOOKUP(D567,SOCIO!B:B,SOCIO!C:C)," ")</f>
        <v xml:space="preserve"> </v>
      </c>
    </row>
    <row r="568" spans="1:10">
      <c r="A568" s="83" t="str">
        <f t="shared" si="8"/>
        <v xml:space="preserve"> </v>
      </c>
      <c r="C568" s="63" t="str">
        <f>IFERROR(LOOKUP(D568,SOCIO!B:B,SOCIO!A:A),"")</f>
        <v/>
      </c>
      <c r="F568" s="67" t="str">
        <f>IFERROR(LOOKUP(E568,CODIGOS!A:A,CODIGOS!B:B)," ")</f>
        <v xml:space="preserve"> </v>
      </c>
      <c r="H568" s="74" t="str">
        <f>IF(J568="SI",IFERROR(LOOKUP(E568,CODIGOS!A:A,CODIGOS!C:C)," "),IFERROR(LOOKUP(E568,CODIGOS!A:A,CODIGOS!D:D),""))</f>
        <v/>
      </c>
      <c r="J568" s="35" t="str">
        <f>IFERROR(LOOKUP(D568,SOCIO!B:B,SOCIO!C:C)," ")</f>
        <v xml:space="preserve"> </v>
      </c>
    </row>
    <row r="569" spans="1:10">
      <c r="A569" s="83" t="str">
        <f t="shared" si="8"/>
        <v xml:space="preserve"> </v>
      </c>
      <c r="C569" s="63" t="str">
        <f>IFERROR(LOOKUP(D569,SOCIO!B:B,SOCIO!A:A),"")</f>
        <v/>
      </c>
      <c r="F569" s="67" t="str">
        <f>IFERROR(LOOKUP(E569,CODIGOS!A:A,CODIGOS!B:B)," ")</f>
        <v xml:space="preserve"> </v>
      </c>
      <c r="H569" s="74" t="str">
        <f>IF(J569="SI",IFERROR(LOOKUP(E569,CODIGOS!A:A,CODIGOS!C:C)," "),IFERROR(LOOKUP(E569,CODIGOS!A:A,CODIGOS!D:D),""))</f>
        <v/>
      </c>
      <c r="J569" s="35" t="str">
        <f>IFERROR(LOOKUP(D569,SOCIO!B:B,SOCIO!C:C)," ")</f>
        <v xml:space="preserve"> </v>
      </c>
    </row>
    <row r="570" spans="1:10">
      <c r="A570" s="83" t="str">
        <f t="shared" si="8"/>
        <v xml:space="preserve"> </v>
      </c>
      <c r="C570" s="63" t="str">
        <f>IFERROR(LOOKUP(D570,SOCIO!B:B,SOCIO!A:A),"")</f>
        <v/>
      </c>
      <c r="F570" s="67" t="str">
        <f>IFERROR(LOOKUP(E570,CODIGOS!A:A,CODIGOS!B:B)," ")</f>
        <v xml:space="preserve"> </v>
      </c>
      <c r="H570" s="74" t="str">
        <f>IF(J570="SI",IFERROR(LOOKUP(E570,CODIGOS!A:A,CODIGOS!C:C)," "),IFERROR(LOOKUP(E570,CODIGOS!A:A,CODIGOS!D:D),""))</f>
        <v/>
      </c>
      <c r="J570" s="35" t="str">
        <f>IFERROR(LOOKUP(D570,SOCIO!B:B,SOCIO!C:C)," ")</f>
        <v xml:space="preserve"> </v>
      </c>
    </row>
    <row r="571" spans="1:10">
      <c r="A571" s="83" t="str">
        <f t="shared" si="8"/>
        <v xml:space="preserve"> </v>
      </c>
      <c r="C571" s="63" t="str">
        <f>IFERROR(LOOKUP(D571,SOCIO!B:B,SOCIO!A:A),"")</f>
        <v/>
      </c>
      <c r="F571" s="67" t="str">
        <f>IFERROR(LOOKUP(E571,CODIGOS!A:A,CODIGOS!B:B)," ")</f>
        <v xml:space="preserve"> </v>
      </c>
      <c r="H571" s="74" t="str">
        <f>IF(J571="SI",IFERROR(LOOKUP(E571,CODIGOS!A:A,CODIGOS!C:C)," "),IFERROR(LOOKUP(E571,CODIGOS!A:A,CODIGOS!D:D),""))</f>
        <v/>
      </c>
      <c r="J571" s="35" t="str">
        <f>IFERROR(LOOKUP(D571,SOCIO!B:B,SOCIO!C:C)," ")</f>
        <v xml:space="preserve"> </v>
      </c>
    </row>
    <row r="572" spans="1:10">
      <c r="A572" s="83" t="str">
        <f t="shared" si="8"/>
        <v xml:space="preserve"> </v>
      </c>
      <c r="C572" s="63" t="str">
        <f>IFERROR(LOOKUP(D572,SOCIO!B:B,SOCIO!A:A),"")</f>
        <v/>
      </c>
      <c r="F572" s="67" t="str">
        <f>IFERROR(LOOKUP(E572,CODIGOS!A:A,CODIGOS!B:B)," ")</f>
        <v xml:space="preserve"> </v>
      </c>
      <c r="H572" s="74" t="str">
        <f>IF(J572="SI",IFERROR(LOOKUP(E572,CODIGOS!A:A,CODIGOS!C:C)," "),IFERROR(LOOKUP(E572,CODIGOS!A:A,CODIGOS!D:D),""))</f>
        <v/>
      </c>
      <c r="J572" s="35" t="str">
        <f>IFERROR(LOOKUP(D572,SOCIO!B:B,SOCIO!C:C)," ")</f>
        <v xml:space="preserve"> </v>
      </c>
    </row>
    <row r="573" spans="1:10">
      <c r="A573" s="83" t="str">
        <f t="shared" si="8"/>
        <v xml:space="preserve"> </v>
      </c>
      <c r="C573" s="63" t="str">
        <f>IFERROR(LOOKUP(D573,SOCIO!B:B,SOCIO!A:A),"")</f>
        <v/>
      </c>
      <c r="F573" s="67" t="str">
        <f>IFERROR(LOOKUP(E573,CODIGOS!A:A,CODIGOS!B:B)," ")</f>
        <v xml:space="preserve"> </v>
      </c>
      <c r="H573" s="74" t="str">
        <f>IF(J573="SI",IFERROR(LOOKUP(E573,CODIGOS!A:A,CODIGOS!C:C)," "),IFERROR(LOOKUP(E573,CODIGOS!A:A,CODIGOS!D:D),""))</f>
        <v/>
      </c>
      <c r="J573" s="35" t="str">
        <f>IFERROR(LOOKUP(D573,SOCIO!B:B,SOCIO!C:C)," ")</f>
        <v xml:space="preserve"> </v>
      </c>
    </row>
    <row r="574" spans="1:10">
      <c r="A574" s="83" t="str">
        <f t="shared" si="8"/>
        <v xml:space="preserve"> </v>
      </c>
      <c r="C574" s="63" t="str">
        <f>IFERROR(LOOKUP(D574,SOCIO!B:B,SOCIO!A:A),"")</f>
        <v/>
      </c>
      <c r="F574" s="67" t="str">
        <f>IFERROR(LOOKUP(E574,CODIGOS!A:A,CODIGOS!B:B)," ")</f>
        <v xml:space="preserve"> </v>
      </c>
      <c r="H574" s="74" t="str">
        <f>IF(J574="SI",IFERROR(LOOKUP(E574,CODIGOS!A:A,CODIGOS!C:C)," "),IFERROR(LOOKUP(E574,CODIGOS!A:A,CODIGOS!D:D),""))</f>
        <v/>
      </c>
      <c r="J574" s="35" t="str">
        <f>IFERROR(LOOKUP(D574,SOCIO!B:B,SOCIO!C:C)," ")</f>
        <v xml:space="preserve"> </v>
      </c>
    </row>
    <row r="575" spans="1:10">
      <c r="A575" s="83" t="str">
        <f t="shared" si="8"/>
        <v xml:space="preserve"> </v>
      </c>
      <c r="C575" s="63" t="str">
        <f>IFERROR(LOOKUP(D575,SOCIO!B:B,SOCIO!A:A),"")</f>
        <v/>
      </c>
      <c r="F575" s="67" t="str">
        <f>IFERROR(LOOKUP(E575,CODIGOS!A:A,CODIGOS!B:B)," ")</f>
        <v xml:space="preserve"> </v>
      </c>
      <c r="H575" s="74" t="str">
        <f>IF(J575="SI",IFERROR(LOOKUP(E575,CODIGOS!A:A,CODIGOS!C:C)," "),IFERROR(LOOKUP(E575,CODIGOS!A:A,CODIGOS!D:D),""))</f>
        <v/>
      </c>
      <c r="J575" s="35" t="str">
        <f>IFERROR(LOOKUP(D575,SOCIO!B:B,SOCIO!C:C)," ")</f>
        <v xml:space="preserve"> </v>
      </c>
    </row>
    <row r="576" spans="1:10">
      <c r="A576" s="83" t="str">
        <f t="shared" si="8"/>
        <v xml:space="preserve"> </v>
      </c>
      <c r="C576" s="63" t="str">
        <f>IFERROR(LOOKUP(D576,SOCIO!B:B,SOCIO!A:A),"")</f>
        <v/>
      </c>
      <c r="F576" s="67" t="str">
        <f>IFERROR(LOOKUP(E576,CODIGOS!A:A,CODIGOS!B:B)," ")</f>
        <v xml:space="preserve"> </v>
      </c>
      <c r="H576" s="74" t="str">
        <f>IF(J576="SI",IFERROR(LOOKUP(E576,CODIGOS!A:A,CODIGOS!C:C)," "),IFERROR(LOOKUP(E576,CODIGOS!A:A,CODIGOS!D:D),""))</f>
        <v/>
      </c>
      <c r="J576" s="35" t="str">
        <f>IFERROR(LOOKUP(D576,SOCIO!B:B,SOCIO!C:C)," ")</f>
        <v xml:space="preserve"> </v>
      </c>
    </row>
    <row r="577" spans="1:10">
      <c r="A577" s="83" t="str">
        <f t="shared" si="8"/>
        <v xml:space="preserve"> </v>
      </c>
      <c r="C577" s="63" t="str">
        <f>IFERROR(LOOKUP(D577,SOCIO!B:B,SOCIO!A:A),"")</f>
        <v/>
      </c>
      <c r="F577" s="67" t="str">
        <f>IFERROR(LOOKUP(E577,CODIGOS!A:A,CODIGOS!B:B)," ")</f>
        <v xml:space="preserve"> </v>
      </c>
      <c r="H577" s="74" t="str">
        <f>IF(J577="SI",IFERROR(LOOKUP(E577,CODIGOS!A:A,CODIGOS!C:C)," "),IFERROR(LOOKUP(E577,CODIGOS!A:A,CODIGOS!D:D),""))</f>
        <v/>
      </c>
      <c r="J577" s="35" t="str">
        <f>IFERROR(LOOKUP(D577,SOCIO!B:B,SOCIO!C:C)," ")</f>
        <v xml:space="preserve"> </v>
      </c>
    </row>
    <row r="578" spans="1:10">
      <c r="A578" s="83" t="str">
        <f t="shared" ref="A578:A598" si="9">IF(B578&lt;&gt;0,A577+1," ")</f>
        <v xml:space="preserve"> </v>
      </c>
      <c r="C578" s="63" t="str">
        <f>IFERROR(LOOKUP(D578,SOCIO!B:B,SOCIO!A:A),"")</f>
        <v/>
      </c>
      <c r="F578" s="67" t="str">
        <f>IFERROR(LOOKUP(E578,CODIGOS!A:A,CODIGOS!B:B)," ")</f>
        <v xml:space="preserve"> </v>
      </c>
      <c r="H578" s="74" t="str">
        <f>IF(J578="SI",IFERROR(LOOKUP(E578,CODIGOS!A:A,CODIGOS!C:C)," "),IFERROR(LOOKUP(E578,CODIGOS!A:A,CODIGOS!D:D),""))</f>
        <v/>
      </c>
      <c r="J578" s="35" t="str">
        <f>IFERROR(LOOKUP(D578,SOCIO!B:B,SOCIO!C:C)," ")</f>
        <v xml:space="preserve"> </v>
      </c>
    </row>
    <row r="579" spans="1:10">
      <c r="A579" s="83" t="str">
        <f t="shared" si="9"/>
        <v xml:space="preserve"> </v>
      </c>
      <c r="C579" s="63" t="str">
        <f>IFERROR(LOOKUP(D579,SOCIO!B:B,SOCIO!A:A),"")</f>
        <v/>
      </c>
      <c r="F579" s="67" t="str">
        <f>IFERROR(LOOKUP(E579,CODIGOS!A:A,CODIGOS!B:B)," ")</f>
        <v xml:space="preserve"> </v>
      </c>
      <c r="H579" s="74" t="str">
        <f>IF(J579="SI",IFERROR(LOOKUP(E579,CODIGOS!A:A,CODIGOS!C:C)," "),IFERROR(LOOKUP(E579,CODIGOS!A:A,CODIGOS!D:D),""))</f>
        <v/>
      </c>
      <c r="J579" s="35" t="str">
        <f>IFERROR(LOOKUP(D579,SOCIO!B:B,SOCIO!C:C)," ")</f>
        <v xml:space="preserve"> </v>
      </c>
    </row>
    <row r="580" spans="1:10">
      <c r="A580" s="83" t="str">
        <f t="shared" si="9"/>
        <v xml:space="preserve"> </v>
      </c>
      <c r="C580" s="63" t="str">
        <f>IFERROR(LOOKUP(D580,SOCIO!B:B,SOCIO!A:A),"")</f>
        <v/>
      </c>
      <c r="F580" s="67" t="str">
        <f>IFERROR(LOOKUP(E580,CODIGOS!A:A,CODIGOS!B:B)," ")</f>
        <v xml:space="preserve"> </v>
      </c>
      <c r="H580" s="74" t="str">
        <f>IF(J580="SI",IFERROR(LOOKUP(E580,CODIGOS!A:A,CODIGOS!C:C)," "),IFERROR(LOOKUP(E580,CODIGOS!A:A,CODIGOS!D:D),""))</f>
        <v/>
      </c>
      <c r="J580" s="35" t="str">
        <f>IFERROR(LOOKUP(D580,SOCIO!B:B,SOCIO!C:C)," ")</f>
        <v xml:space="preserve"> </v>
      </c>
    </row>
    <row r="581" spans="1:10">
      <c r="A581" s="83" t="str">
        <f t="shared" si="9"/>
        <v xml:space="preserve"> </v>
      </c>
      <c r="C581" s="63" t="str">
        <f>IFERROR(LOOKUP(D581,SOCIO!B:B,SOCIO!A:A),"")</f>
        <v/>
      </c>
      <c r="F581" s="67" t="str">
        <f>IFERROR(LOOKUP(E581,CODIGOS!A:A,CODIGOS!B:B)," ")</f>
        <v xml:space="preserve"> </v>
      </c>
      <c r="H581" s="74" t="str">
        <f>IF(J581="SI",IFERROR(LOOKUP(E581,CODIGOS!A:A,CODIGOS!C:C)," "),IFERROR(LOOKUP(E581,CODIGOS!A:A,CODIGOS!D:D),""))</f>
        <v/>
      </c>
      <c r="J581" s="35" t="str">
        <f>IFERROR(LOOKUP(D581,SOCIO!B:B,SOCIO!C:C)," ")</f>
        <v xml:space="preserve"> </v>
      </c>
    </row>
    <row r="582" spans="1:10">
      <c r="A582" s="83" t="str">
        <f t="shared" si="9"/>
        <v xml:space="preserve"> </v>
      </c>
      <c r="C582" s="63" t="str">
        <f>IFERROR(LOOKUP(D582,SOCIO!B:B,SOCIO!A:A),"")</f>
        <v/>
      </c>
      <c r="F582" s="67" t="str">
        <f>IFERROR(LOOKUP(E582,CODIGOS!A:A,CODIGOS!B:B)," ")</f>
        <v xml:space="preserve"> </v>
      </c>
      <c r="H582" s="74" t="str">
        <f>IF(J582="SI",IFERROR(LOOKUP(E582,CODIGOS!A:A,CODIGOS!C:C)," "),IFERROR(LOOKUP(E582,CODIGOS!A:A,CODIGOS!D:D),""))</f>
        <v/>
      </c>
      <c r="J582" s="35" t="str">
        <f>IFERROR(LOOKUP(D582,SOCIO!B:B,SOCIO!C:C)," ")</f>
        <v xml:space="preserve"> </v>
      </c>
    </row>
    <row r="583" spans="1:10">
      <c r="A583" s="83" t="str">
        <f t="shared" si="9"/>
        <v xml:space="preserve"> </v>
      </c>
      <c r="C583" s="63" t="str">
        <f>IFERROR(LOOKUP(D583,SOCIO!B:B,SOCIO!A:A),"")</f>
        <v/>
      </c>
      <c r="F583" s="67" t="str">
        <f>IFERROR(LOOKUP(E583,CODIGOS!A:A,CODIGOS!B:B)," ")</f>
        <v xml:space="preserve"> </v>
      </c>
      <c r="H583" s="74" t="str">
        <f>IF(J583="SI",IFERROR(LOOKUP(E583,CODIGOS!A:A,CODIGOS!C:C)," "),IFERROR(LOOKUP(E583,CODIGOS!A:A,CODIGOS!D:D),""))</f>
        <v/>
      </c>
      <c r="J583" s="35" t="str">
        <f>IFERROR(LOOKUP(D583,SOCIO!B:B,SOCIO!C:C)," ")</f>
        <v xml:space="preserve"> </v>
      </c>
    </row>
    <row r="584" spans="1:10">
      <c r="A584" s="83" t="str">
        <f t="shared" si="9"/>
        <v xml:space="preserve"> </v>
      </c>
      <c r="C584" s="63" t="str">
        <f>IFERROR(LOOKUP(D584,SOCIO!B:B,SOCIO!A:A),"")</f>
        <v/>
      </c>
      <c r="F584" s="67" t="str">
        <f>IFERROR(LOOKUP(E584,CODIGOS!A:A,CODIGOS!B:B)," ")</f>
        <v xml:space="preserve"> </v>
      </c>
      <c r="H584" s="74" t="str">
        <f>IF(J584="SI",IFERROR(LOOKUP(E584,CODIGOS!A:A,CODIGOS!C:C)," "),IFERROR(LOOKUP(E584,CODIGOS!A:A,CODIGOS!D:D),""))</f>
        <v/>
      </c>
      <c r="J584" s="35" t="str">
        <f>IFERROR(LOOKUP(D584,SOCIO!B:B,SOCIO!C:C)," ")</f>
        <v xml:space="preserve"> </v>
      </c>
    </row>
    <row r="585" spans="1:10">
      <c r="A585" s="83" t="str">
        <f t="shared" si="9"/>
        <v xml:space="preserve"> </v>
      </c>
      <c r="C585" s="63" t="str">
        <f>IFERROR(LOOKUP(D585,SOCIO!B:B,SOCIO!A:A),"")</f>
        <v/>
      </c>
      <c r="F585" s="67" t="str">
        <f>IFERROR(LOOKUP(E585,CODIGOS!A:A,CODIGOS!B:B)," ")</f>
        <v xml:space="preserve"> </v>
      </c>
      <c r="H585" s="74" t="str">
        <f>IF(J585="SI",IFERROR(LOOKUP(E585,CODIGOS!A:A,CODIGOS!C:C)," "),IFERROR(LOOKUP(E585,CODIGOS!A:A,CODIGOS!D:D),""))</f>
        <v/>
      </c>
      <c r="J585" s="35" t="str">
        <f>IFERROR(LOOKUP(D585,SOCIO!B:B,SOCIO!C:C)," ")</f>
        <v xml:space="preserve"> </v>
      </c>
    </row>
    <row r="586" spans="1:10">
      <c r="A586" s="83" t="str">
        <f t="shared" si="9"/>
        <v xml:space="preserve"> </v>
      </c>
      <c r="C586" s="63" t="str">
        <f>IFERROR(LOOKUP(D586,SOCIO!B:B,SOCIO!A:A),"")</f>
        <v/>
      </c>
      <c r="F586" s="67" t="str">
        <f>IFERROR(LOOKUP(E586,CODIGOS!A:A,CODIGOS!B:B)," ")</f>
        <v xml:space="preserve"> </v>
      </c>
      <c r="H586" s="74" t="str">
        <f>IF(J586="SI",IFERROR(LOOKUP(E586,CODIGOS!A:A,CODIGOS!C:C)," "),IFERROR(LOOKUP(E586,CODIGOS!A:A,CODIGOS!D:D),""))</f>
        <v/>
      </c>
      <c r="J586" s="35" t="str">
        <f>IFERROR(LOOKUP(D586,SOCIO!B:B,SOCIO!C:C)," ")</f>
        <v xml:space="preserve"> </v>
      </c>
    </row>
    <row r="587" spans="1:10">
      <c r="A587" s="83" t="str">
        <f t="shared" si="9"/>
        <v xml:space="preserve"> </v>
      </c>
      <c r="C587" s="63" t="str">
        <f>IFERROR(LOOKUP(D587,SOCIO!B:B,SOCIO!A:A),"")</f>
        <v/>
      </c>
      <c r="F587" s="67" t="str">
        <f>IFERROR(LOOKUP(E587,CODIGOS!A:A,CODIGOS!B:B)," ")</f>
        <v xml:space="preserve"> </v>
      </c>
      <c r="H587" s="74" t="str">
        <f>IF(J587="SI",IFERROR(LOOKUP(E587,CODIGOS!A:A,CODIGOS!C:C)," "),IFERROR(LOOKUP(E587,CODIGOS!A:A,CODIGOS!D:D),""))</f>
        <v/>
      </c>
      <c r="J587" s="35" t="str">
        <f>IFERROR(LOOKUP(D587,SOCIO!B:B,SOCIO!C:C)," ")</f>
        <v xml:space="preserve"> </v>
      </c>
    </row>
    <row r="588" spans="1:10">
      <c r="A588" s="83" t="str">
        <f t="shared" si="9"/>
        <v xml:space="preserve"> </v>
      </c>
      <c r="C588" s="63" t="str">
        <f>IFERROR(LOOKUP(D588,SOCIO!B:B,SOCIO!A:A),"")</f>
        <v/>
      </c>
      <c r="F588" s="67" t="str">
        <f>IFERROR(LOOKUP(E588,CODIGOS!A:A,CODIGOS!B:B)," ")</f>
        <v xml:space="preserve"> </v>
      </c>
      <c r="H588" s="74" t="str">
        <f>IF(J588="SI",IFERROR(LOOKUP(E588,CODIGOS!A:A,CODIGOS!C:C)," "),IFERROR(LOOKUP(E588,CODIGOS!A:A,CODIGOS!D:D),""))</f>
        <v/>
      </c>
      <c r="J588" s="35" t="str">
        <f>IFERROR(LOOKUP(D588,SOCIO!B:B,SOCIO!C:C)," ")</f>
        <v xml:space="preserve"> </v>
      </c>
    </row>
    <row r="589" spans="1:10">
      <c r="A589" s="83" t="str">
        <f t="shared" si="9"/>
        <v xml:space="preserve"> </v>
      </c>
      <c r="C589" s="63" t="str">
        <f>IFERROR(LOOKUP(D589,SOCIO!B:B,SOCIO!A:A),"")</f>
        <v/>
      </c>
      <c r="F589" s="67" t="str">
        <f>IFERROR(LOOKUP(E589,CODIGOS!A:A,CODIGOS!B:B)," ")</f>
        <v xml:space="preserve"> </v>
      </c>
      <c r="H589" s="74" t="str">
        <f>IF(J589="SI",IFERROR(LOOKUP(E589,CODIGOS!A:A,CODIGOS!C:C)," "),IFERROR(LOOKUP(E589,CODIGOS!A:A,CODIGOS!D:D),""))</f>
        <v/>
      </c>
      <c r="J589" s="35" t="str">
        <f>IFERROR(LOOKUP(D589,SOCIO!B:B,SOCIO!C:C)," ")</f>
        <v xml:space="preserve"> </v>
      </c>
    </row>
    <row r="590" spans="1:10">
      <c r="A590" s="83" t="str">
        <f t="shared" si="9"/>
        <v xml:space="preserve"> </v>
      </c>
      <c r="C590" s="63" t="str">
        <f>IFERROR(LOOKUP(D590,SOCIO!B:B,SOCIO!A:A),"")</f>
        <v/>
      </c>
      <c r="F590" s="67" t="str">
        <f>IFERROR(LOOKUP(E590,CODIGOS!A:A,CODIGOS!B:B)," ")</f>
        <v xml:space="preserve"> </v>
      </c>
      <c r="H590" s="74" t="str">
        <f>IF(J590="SI",IFERROR(LOOKUP(E590,CODIGOS!A:A,CODIGOS!C:C)," "),IFERROR(LOOKUP(E590,CODIGOS!A:A,CODIGOS!D:D),""))</f>
        <v/>
      </c>
      <c r="J590" s="35" t="str">
        <f>IFERROR(LOOKUP(D590,SOCIO!B:B,SOCIO!C:C)," ")</f>
        <v xml:space="preserve"> </v>
      </c>
    </row>
    <row r="591" spans="1:10">
      <c r="A591" s="83" t="str">
        <f t="shared" si="9"/>
        <v xml:space="preserve"> </v>
      </c>
      <c r="C591" s="63" t="str">
        <f>IFERROR(LOOKUP(D591,SOCIO!B:B,SOCIO!A:A),"")</f>
        <v/>
      </c>
      <c r="F591" s="67" t="str">
        <f>IFERROR(LOOKUP(E591,CODIGOS!A:A,CODIGOS!B:B)," ")</f>
        <v xml:space="preserve"> </v>
      </c>
      <c r="H591" s="74" t="str">
        <f>IF(J591="SI",IFERROR(LOOKUP(E591,CODIGOS!A:A,CODIGOS!C:C)," "),IFERROR(LOOKUP(E591,CODIGOS!A:A,CODIGOS!D:D),""))</f>
        <v/>
      </c>
      <c r="J591" s="35" t="str">
        <f>IFERROR(LOOKUP(D591,SOCIO!B:B,SOCIO!C:C)," ")</f>
        <v xml:space="preserve"> </v>
      </c>
    </row>
    <row r="592" spans="1:10">
      <c r="A592" s="83" t="str">
        <f t="shared" si="9"/>
        <v xml:space="preserve"> </v>
      </c>
      <c r="C592" s="63" t="str">
        <f>IFERROR(LOOKUP(D592,SOCIO!B:B,SOCIO!A:A),"")</f>
        <v/>
      </c>
      <c r="F592" s="67" t="str">
        <f>IFERROR(LOOKUP(E592,CODIGOS!A:A,CODIGOS!B:B)," ")</f>
        <v xml:space="preserve"> </v>
      </c>
      <c r="H592" s="74" t="str">
        <f>IF(J592="SI",IFERROR(LOOKUP(E592,CODIGOS!A:A,CODIGOS!C:C)," "),IFERROR(LOOKUP(E592,CODIGOS!A:A,CODIGOS!D:D),""))</f>
        <v/>
      </c>
      <c r="J592" s="35" t="str">
        <f>IFERROR(LOOKUP(D592,SOCIO!B:B,SOCIO!C:C)," ")</f>
        <v xml:space="preserve"> </v>
      </c>
    </row>
    <row r="593" spans="1:11">
      <c r="A593" s="83" t="str">
        <f t="shared" si="9"/>
        <v xml:space="preserve"> </v>
      </c>
      <c r="C593" s="63" t="str">
        <f>IFERROR(LOOKUP(D593,SOCIO!B:B,SOCIO!A:A),"")</f>
        <v/>
      </c>
      <c r="F593" s="67" t="str">
        <f>IFERROR(LOOKUP(E593,CODIGOS!A:A,CODIGOS!B:B)," ")</f>
        <v xml:space="preserve"> </v>
      </c>
      <c r="H593" s="74" t="str">
        <f>IF(J593="SI",IFERROR(LOOKUP(E593,CODIGOS!A:A,CODIGOS!C:C)," "),IFERROR(LOOKUP(E593,CODIGOS!A:A,CODIGOS!D:D),""))</f>
        <v/>
      </c>
      <c r="J593" s="35" t="str">
        <f>IFERROR(LOOKUP(D593,SOCIO!B:B,SOCIO!C:C)," ")</f>
        <v xml:space="preserve"> </v>
      </c>
    </row>
    <row r="594" spans="1:11">
      <c r="A594" s="83" t="str">
        <f t="shared" si="9"/>
        <v xml:space="preserve"> </v>
      </c>
      <c r="C594" s="63" t="str">
        <f>IFERROR(LOOKUP(D594,SOCIO!B:B,SOCIO!A:A),"")</f>
        <v/>
      </c>
      <c r="F594" s="67" t="str">
        <f>IFERROR(LOOKUP(E594,CODIGOS!A:A,CODIGOS!B:B)," ")</f>
        <v xml:space="preserve"> </v>
      </c>
      <c r="H594" s="74" t="str">
        <f>IF(J594="SI",IFERROR(LOOKUP(E594,CODIGOS!A:A,CODIGOS!C:C)," "),IFERROR(LOOKUP(E594,CODIGOS!A:A,CODIGOS!D:D),""))</f>
        <v/>
      </c>
      <c r="J594" s="35" t="str">
        <f>IFERROR(LOOKUP(D594,SOCIO!B:B,SOCIO!C:C)," ")</f>
        <v xml:space="preserve"> </v>
      </c>
    </row>
    <row r="595" spans="1:11">
      <c r="A595" s="83" t="str">
        <f t="shared" si="9"/>
        <v xml:space="preserve"> </v>
      </c>
      <c r="C595" s="63" t="str">
        <f>IFERROR(LOOKUP(D595,SOCIO!B:B,SOCIO!A:A),"")</f>
        <v/>
      </c>
      <c r="F595" s="67" t="str">
        <f>IFERROR(LOOKUP(E595,CODIGOS!A:A,CODIGOS!B:B)," ")</f>
        <v xml:space="preserve"> </v>
      </c>
      <c r="H595" s="74" t="str">
        <f>IF(J595="SI",IFERROR(LOOKUP(E595,CODIGOS!A:A,CODIGOS!C:C)," "),IFERROR(LOOKUP(E595,CODIGOS!A:A,CODIGOS!D:D),""))</f>
        <v/>
      </c>
      <c r="J595" s="35" t="str">
        <f>IFERROR(LOOKUP(D595,SOCIO!B:B,SOCIO!C:C)," ")</f>
        <v xml:space="preserve"> </v>
      </c>
    </row>
    <row r="596" spans="1:11">
      <c r="A596" s="83" t="str">
        <f t="shared" si="9"/>
        <v xml:space="preserve"> </v>
      </c>
      <c r="C596" s="63" t="str">
        <f>IFERROR(LOOKUP(D596,SOCIO!B:B,SOCIO!A:A),"")</f>
        <v/>
      </c>
      <c r="F596" s="67" t="str">
        <f>IFERROR(LOOKUP(E596,CODIGOS!A:A,CODIGOS!B:B)," ")</f>
        <v xml:space="preserve"> </v>
      </c>
      <c r="H596" s="74" t="str">
        <f>IF(J596="SI",IFERROR(LOOKUP(E596,CODIGOS!A:A,CODIGOS!C:C)," "),IFERROR(LOOKUP(E596,CODIGOS!A:A,CODIGOS!D:D),""))</f>
        <v/>
      </c>
      <c r="J596" s="35" t="str">
        <f>IFERROR(LOOKUP(D596,SOCIO!B:B,SOCIO!C:C)," ")</f>
        <v xml:space="preserve"> </v>
      </c>
    </row>
    <row r="597" spans="1:11">
      <c r="A597" s="83" t="str">
        <f t="shared" si="9"/>
        <v xml:space="preserve"> </v>
      </c>
      <c r="C597" s="63" t="str">
        <f>IFERROR(LOOKUP(D597,SOCIO!B:B,SOCIO!A:A),"")</f>
        <v/>
      </c>
      <c r="F597" s="67" t="str">
        <f>IFERROR(LOOKUP(E597,CODIGOS!A:A,CODIGOS!B:B)," ")</f>
        <v xml:space="preserve"> </v>
      </c>
      <c r="H597" s="74" t="str">
        <f>IF(J597="SI",IFERROR(LOOKUP(E597,CODIGOS!A:A,CODIGOS!C:C)," "),IFERROR(LOOKUP(E597,CODIGOS!A:A,CODIGOS!D:D),""))</f>
        <v/>
      </c>
      <c r="J597" s="35" t="str">
        <f>IFERROR(LOOKUP(D597,SOCIO!B:B,SOCIO!C:C)," ")</f>
        <v xml:space="preserve"> </v>
      </c>
    </row>
    <row r="598" spans="1:11">
      <c r="A598" s="83" t="str">
        <f t="shared" si="9"/>
        <v xml:space="preserve"> </v>
      </c>
      <c r="C598" s="63" t="str">
        <f>IFERROR(LOOKUP(D598,SOCIO!B:B,SOCIO!A:A),"")</f>
        <v/>
      </c>
      <c r="F598" s="67" t="str">
        <f>IFERROR(LOOKUP(E598,CODIGOS!A:A,CODIGOS!B:B)," ")</f>
        <v xml:space="preserve"> </v>
      </c>
      <c r="H598" s="74" t="str">
        <f>IF(J598="SI",IFERROR(LOOKUP(E598,CODIGOS!A:A,CODIGOS!C:C)," "),IFERROR(LOOKUP(E598,CODIGOS!A:A,CODIGOS!D:D),""))</f>
        <v/>
      </c>
      <c r="J598" s="35" t="str">
        <f>IFERROR(LOOKUP(D598,SOCIO!B:B,SOCIO!C:C)," ")</f>
        <v xml:space="preserve"> </v>
      </c>
    </row>
    <row r="599" spans="1:11">
      <c r="H599" s="74" t="str">
        <f>IF(J599="SI",IFERROR(LOOKUP(E599,CODIGOS!A:A,CODIGOS!C:C)," "),IFERROR(LOOKUP(E599,CODIGOS!A:A,CODIGOS!D:D),""))</f>
        <v/>
      </c>
      <c r="K599" s="97" t="s">
        <v>1692</v>
      </c>
    </row>
  </sheetData>
  <autoFilter ref="A1:K599" xr:uid="{00000000-0009-0000-0000-000001000000}"/>
  <pageMargins left="0.23622047244094491" right="0.27559055118110237" top="0.74803149606299213" bottom="0.43307086614173229" header="0.31496062992125984" footer="0.31496062992125984"/>
  <pageSetup paperSize="9" scale="6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"/>
  <sheetViews>
    <sheetView topLeftCell="A19" workbookViewId="0"/>
  </sheetViews>
  <sheetFormatPr baseColWidth="10"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20"/>
  <sheetViews>
    <sheetView workbookViewId="0">
      <selection activeCell="E15" sqref="E15"/>
    </sheetView>
  </sheetViews>
  <sheetFormatPr baseColWidth="10" defaultColWidth="11" defaultRowHeight="15"/>
  <cols>
    <col min="2" max="2" width="45.140625" customWidth="1"/>
    <col min="4" max="4" width="12.28515625" customWidth="1"/>
    <col min="6" max="6" width="12.85546875" customWidth="1"/>
    <col min="7" max="7" width="13.28515625" customWidth="1"/>
  </cols>
  <sheetData>
    <row r="1" spans="1:8" s="6" customFormat="1" ht="30">
      <c r="A1" s="7" t="s">
        <v>2</v>
      </c>
      <c r="B1" s="7" t="s">
        <v>3</v>
      </c>
      <c r="C1" s="7" t="s">
        <v>1042</v>
      </c>
      <c r="D1" s="7" t="s">
        <v>1043</v>
      </c>
      <c r="E1" s="7" t="s">
        <v>1044</v>
      </c>
      <c r="F1" s="7" t="s">
        <v>1045</v>
      </c>
      <c r="G1" s="7" t="s">
        <v>1046</v>
      </c>
      <c r="H1" s="7" t="s">
        <v>1047</v>
      </c>
    </row>
    <row r="2" spans="1:8">
      <c r="A2" s="8">
        <v>269</v>
      </c>
      <c r="B2" s="9" t="s">
        <v>51</v>
      </c>
      <c r="C2" t="s">
        <v>1048</v>
      </c>
      <c r="D2" t="s">
        <v>1049</v>
      </c>
      <c r="E2">
        <v>18001</v>
      </c>
      <c r="F2" t="s">
        <v>1050</v>
      </c>
      <c r="G2">
        <v>658555555</v>
      </c>
      <c r="H2" s="10" t="s">
        <v>1051</v>
      </c>
    </row>
    <row r="3" spans="1:8">
      <c r="A3" s="11">
        <v>410</v>
      </c>
      <c r="B3" s="9" t="s">
        <v>22</v>
      </c>
      <c r="C3" t="s">
        <v>1048</v>
      </c>
      <c r="D3" t="s">
        <v>1052</v>
      </c>
      <c r="E3">
        <v>18002</v>
      </c>
      <c r="F3" t="s">
        <v>1050</v>
      </c>
      <c r="G3">
        <v>658555556</v>
      </c>
      <c r="H3" s="10" t="s">
        <v>1051</v>
      </c>
    </row>
    <row r="4" spans="1:8">
      <c r="A4" s="11">
        <v>575</v>
      </c>
      <c r="B4" s="9" t="s">
        <v>21</v>
      </c>
      <c r="C4" t="s">
        <v>1048</v>
      </c>
      <c r="D4" t="s">
        <v>1053</v>
      </c>
      <c r="E4">
        <v>18003</v>
      </c>
      <c r="F4" t="s">
        <v>1050</v>
      </c>
      <c r="G4">
        <v>658555557</v>
      </c>
      <c r="H4" s="10" t="s">
        <v>1051</v>
      </c>
    </row>
    <row r="5" spans="1:8">
      <c r="A5" s="11">
        <v>738</v>
      </c>
      <c r="B5" s="9" t="s">
        <v>63</v>
      </c>
      <c r="C5" t="s">
        <v>1048</v>
      </c>
      <c r="D5" t="s">
        <v>1054</v>
      </c>
      <c r="E5">
        <v>18004</v>
      </c>
      <c r="F5" t="s">
        <v>1050</v>
      </c>
      <c r="G5">
        <v>658555558</v>
      </c>
      <c r="H5" s="10" t="s">
        <v>1051</v>
      </c>
    </row>
    <row r="6" spans="1:8">
      <c r="A6" s="12">
        <v>810</v>
      </c>
      <c r="B6" s="9" t="s">
        <v>522</v>
      </c>
      <c r="C6" t="s">
        <v>1048</v>
      </c>
      <c r="D6" t="s">
        <v>1055</v>
      </c>
      <c r="E6">
        <v>18005</v>
      </c>
      <c r="F6" t="s">
        <v>1050</v>
      </c>
      <c r="G6">
        <v>658555559</v>
      </c>
      <c r="H6" s="10" t="s">
        <v>1051</v>
      </c>
    </row>
    <row r="7" spans="1:8">
      <c r="A7" s="11">
        <v>849</v>
      </c>
      <c r="B7" s="9" t="s">
        <v>503</v>
      </c>
      <c r="C7" t="s">
        <v>1048</v>
      </c>
      <c r="D7" t="s">
        <v>1056</v>
      </c>
      <c r="E7">
        <v>18006</v>
      </c>
      <c r="F7" t="s">
        <v>1050</v>
      </c>
      <c r="G7">
        <v>658555560</v>
      </c>
      <c r="H7" s="10" t="s">
        <v>1051</v>
      </c>
    </row>
    <row r="8" spans="1:8">
      <c r="A8" s="11">
        <v>1030</v>
      </c>
      <c r="B8" s="9" t="s">
        <v>474</v>
      </c>
      <c r="C8" t="s">
        <v>1048</v>
      </c>
      <c r="D8" t="s">
        <v>1057</v>
      </c>
      <c r="E8">
        <v>18007</v>
      </c>
      <c r="F8" t="s">
        <v>1050</v>
      </c>
      <c r="G8">
        <v>658555561</v>
      </c>
      <c r="H8" s="10" t="s">
        <v>1051</v>
      </c>
    </row>
    <row r="9" spans="1:8">
      <c r="A9" s="11">
        <v>1042</v>
      </c>
      <c r="B9" s="9" t="s">
        <v>475</v>
      </c>
      <c r="C9" t="s">
        <v>1048</v>
      </c>
      <c r="D9" t="s">
        <v>1058</v>
      </c>
      <c r="E9">
        <v>18008</v>
      </c>
      <c r="F9" t="s">
        <v>1050</v>
      </c>
      <c r="G9">
        <v>658555562</v>
      </c>
      <c r="H9" s="10" t="s">
        <v>1051</v>
      </c>
    </row>
    <row r="10" spans="1:8">
      <c r="A10" s="11">
        <v>1045</v>
      </c>
      <c r="B10" s="9" t="s">
        <v>554</v>
      </c>
      <c r="C10" t="s">
        <v>1048</v>
      </c>
      <c r="D10" t="s">
        <v>1059</v>
      </c>
      <c r="E10">
        <v>18009</v>
      </c>
      <c r="F10" t="s">
        <v>1050</v>
      </c>
      <c r="G10">
        <v>658555563</v>
      </c>
      <c r="H10" s="10" t="s">
        <v>1051</v>
      </c>
    </row>
    <row r="11" spans="1:8">
      <c r="A11" s="11">
        <v>1141</v>
      </c>
      <c r="B11" s="9" t="s">
        <v>193</v>
      </c>
      <c r="C11" t="s">
        <v>1048</v>
      </c>
      <c r="D11" t="s">
        <v>1060</v>
      </c>
      <c r="E11">
        <v>18010</v>
      </c>
      <c r="F11" t="s">
        <v>1050</v>
      </c>
      <c r="G11">
        <v>658555564</v>
      </c>
      <c r="H11" s="10" t="s">
        <v>1051</v>
      </c>
    </row>
    <row r="12" spans="1:8">
      <c r="A12" s="11">
        <v>1178</v>
      </c>
      <c r="B12" s="9" t="s">
        <v>458</v>
      </c>
      <c r="C12" t="s">
        <v>1048</v>
      </c>
      <c r="D12" t="s">
        <v>1061</v>
      </c>
      <c r="E12">
        <v>18011</v>
      </c>
      <c r="F12" t="s">
        <v>1050</v>
      </c>
      <c r="G12">
        <v>658555565</v>
      </c>
      <c r="H12" s="10" t="s">
        <v>1051</v>
      </c>
    </row>
    <row r="13" spans="1:8">
      <c r="A13" s="12">
        <v>1251</v>
      </c>
      <c r="B13" s="9" t="s">
        <v>523</v>
      </c>
      <c r="C13" t="s">
        <v>1048</v>
      </c>
      <c r="D13" t="s">
        <v>1062</v>
      </c>
      <c r="E13">
        <v>18012</v>
      </c>
      <c r="F13" t="s">
        <v>1050</v>
      </c>
      <c r="G13">
        <v>658555566</v>
      </c>
      <c r="H13" s="10" t="s">
        <v>1051</v>
      </c>
    </row>
    <row r="14" spans="1:8">
      <c r="A14" s="12">
        <v>1314</v>
      </c>
      <c r="B14" s="9" t="s">
        <v>258</v>
      </c>
      <c r="C14" t="s">
        <v>1048</v>
      </c>
      <c r="D14" t="s">
        <v>1063</v>
      </c>
      <c r="E14">
        <v>18013</v>
      </c>
      <c r="F14" t="s">
        <v>1050</v>
      </c>
      <c r="G14">
        <v>658555567</v>
      </c>
      <c r="H14" s="10" t="s">
        <v>1051</v>
      </c>
    </row>
    <row r="15" spans="1:8">
      <c r="A15" s="11">
        <v>1391</v>
      </c>
      <c r="B15" s="9" t="s">
        <v>135</v>
      </c>
      <c r="C15" t="s">
        <v>1048</v>
      </c>
      <c r="D15" t="s">
        <v>1064</v>
      </c>
      <c r="E15">
        <v>18014</v>
      </c>
      <c r="F15" t="s">
        <v>1050</v>
      </c>
      <c r="G15">
        <v>658555568</v>
      </c>
      <c r="H15" s="10" t="s">
        <v>1051</v>
      </c>
    </row>
    <row r="16" spans="1:8">
      <c r="A16" s="12">
        <v>1396</v>
      </c>
      <c r="B16" s="9" t="s">
        <v>211</v>
      </c>
      <c r="C16" t="s">
        <v>1048</v>
      </c>
      <c r="D16" t="s">
        <v>1065</v>
      </c>
      <c r="E16">
        <v>18015</v>
      </c>
      <c r="F16" t="s">
        <v>1050</v>
      </c>
      <c r="G16">
        <v>658555569</v>
      </c>
      <c r="H16" s="10" t="s">
        <v>1051</v>
      </c>
    </row>
    <row r="17" spans="1:8">
      <c r="A17" s="11">
        <v>1397</v>
      </c>
      <c r="B17" s="9" t="s">
        <v>66</v>
      </c>
      <c r="C17" t="s">
        <v>1048</v>
      </c>
      <c r="D17" t="s">
        <v>1066</v>
      </c>
      <c r="E17">
        <v>18016</v>
      </c>
      <c r="F17" t="s">
        <v>1050</v>
      </c>
      <c r="G17">
        <v>658555570</v>
      </c>
      <c r="H17" s="10" t="s">
        <v>1051</v>
      </c>
    </row>
    <row r="18" spans="1:8">
      <c r="A18" s="8">
        <v>1433</v>
      </c>
      <c r="B18" s="9" t="s">
        <v>44</v>
      </c>
      <c r="C18" t="s">
        <v>1048</v>
      </c>
      <c r="D18" t="s">
        <v>1067</v>
      </c>
      <c r="E18">
        <v>18017</v>
      </c>
      <c r="F18" t="s">
        <v>1050</v>
      </c>
      <c r="G18">
        <v>658555571</v>
      </c>
      <c r="H18" s="10" t="s">
        <v>1051</v>
      </c>
    </row>
    <row r="19" spans="1:8">
      <c r="A19" s="11">
        <v>1581</v>
      </c>
      <c r="B19" s="9" t="s">
        <v>136</v>
      </c>
      <c r="C19" t="s">
        <v>1048</v>
      </c>
      <c r="D19" t="s">
        <v>1068</v>
      </c>
      <c r="E19">
        <v>18018</v>
      </c>
      <c r="F19" t="s">
        <v>1050</v>
      </c>
      <c r="G19">
        <v>658555572</v>
      </c>
      <c r="H19" s="10" t="s">
        <v>1051</v>
      </c>
    </row>
    <row r="20" spans="1:8">
      <c r="A20" s="12">
        <v>1623</v>
      </c>
      <c r="B20" s="9" t="s">
        <v>287</v>
      </c>
      <c r="C20" t="s">
        <v>1048</v>
      </c>
      <c r="D20" t="s">
        <v>1069</v>
      </c>
      <c r="E20">
        <v>18019</v>
      </c>
      <c r="F20" t="s">
        <v>1050</v>
      </c>
      <c r="G20">
        <v>658555573</v>
      </c>
      <c r="H20" s="10" t="s">
        <v>1051</v>
      </c>
    </row>
    <row r="21" spans="1:8">
      <c r="A21" s="11">
        <v>1674</v>
      </c>
      <c r="B21" s="9" t="s">
        <v>499</v>
      </c>
    </row>
    <row r="22" spans="1:8">
      <c r="A22" s="13">
        <v>1680</v>
      </c>
      <c r="B22" s="9" t="s">
        <v>18</v>
      </c>
    </row>
    <row r="23" spans="1:8">
      <c r="A23" s="12">
        <v>1744</v>
      </c>
      <c r="B23" s="9" t="s">
        <v>421</v>
      </c>
    </row>
    <row r="24" spans="1:8">
      <c r="A24" s="12">
        <v>1745</v>
      </c>
      <c r="B24" s="9" t="s">
        <v>422</v>
      </c>
    </row>
    <row r="25" spans="1:8">
      <c r="A25" s="13">
        <v>1803</v>
      </c>
      <c r="B25" s="9" t="s">
        <v>355</v>
      </c>
    </row>
    <row r="26" spans="1:8">
      <c r="A26" s="11">
        <v>1815</v>
      </c>
      <c r="B26" s="9" t="s">
        <v>377</v>
      </c>
    </row>
    <row r="27" spans="1:8">
      <c r="A27" s="12">
        <v>1823</v>
      </c>
      <c r="B27" s="9" t="s">
        <v>43</v>
      </c>
    </row>
    <row r="28" spans="1:8">
      <c r="A28" s="12">
        <v>1836</v>
      </c>
      <c r="B28" s="9" t="s">
        <v>547</v>
      </c>
    </row>
    <row r="29" spans="1:8">
      <c r="A29" s="11">
        <v>1853</v>
      </c>
      <c r="B29" s="9" t="s">
        <v>441</v>
      </c>
    </row>
    <row r="30" spans="1:8">
      <c r="A30" s="13">
        <v>1856</v>
      </c>
      <c r="B30" s="9" t="s">
        <v>480</v>
      </c>
    </row>
    <row r="31" spans="1:8">
      <c r="A31" s="11">
        <v>1861</v>
      </c>
      <c r="B31" s="9" t="s">
        <v>465</v>
      </c>
    </row>
    <row r="32" spans="1:8">
      <c r="A32" s="13">
        <v>1888</v>
      </c>
      <c r="B32" s="9" t="s">
        <v>466</v>
      </c>
    </row>
    <row r="33" spans="1:2">
      <c r="A33" s="13">
        <v>1897</v>
      </c>
      <c r="B33" s="9" t="s">
        <v>77</v>
      </c>
    </row>
    <row r="34" spans="1:2">
      <c r="A34" s="13">
        <v>1898</v>
      </c>
      <c r="B34" s="9" t="s">
        <v>78</v>
      </c>
    </row>
    <row r="35" spans="1:2">
      <c r="A35" s="12">
        <v>1901</v>
      </c>
      <c r="B35" s="9" t="s">
        <v>147</v>
      </c>
    </row>
    <row r="36" spans="1:2">
      <c r="A36" s="12">
        <v>1906</v>
      </c>
      <c r="B36" s="9" t="s">
        <v>548</v>
      </c>
    </row>
    <row r="37" spans="1:2">
      <c r="A37" s="12">
        <v>1910</v>
      </c>
      <c r="B37" s="9" t="s">
        <v>445</v>
      </c>
    </row>
    <row r="38" spans="1:2">
      <c r="A38" s="11">
        <v>1913</v>
      </c>
      <c r="B38" s="9" t="s">
        <v>62</v>
      </c>
    </row>
    <row r="39" spans="1:2">
      <c r="A39" s="12">
        <v>1916</v>
      </c>
      <c r="B39" s="9" t="s">
        <v>266</v>
      </c>
    </row>
    <row r="40" spans="1:2">
      <c r="A40" s="11">
        <v>1919</v>
      </c>
      <c r="B40" s="9" t="s">
        <v>363</v>
      </c>
    </row>
    <row r="41" spans="1:2">
      <c r="A41" s="12">
        <v>1920</v>
      </c>
      <c r="B41" s="9" t="s">
        <v>48</v>
      </c>
    </row>
    <row r="42" spans="1:2">
      <c r="A42" s="8">
        <v>1928</v>
      </c>
      <c r="B42" s="9" t="s">
        <v>347</v>
      </c>
    </row>
    <row r="43" spans="1:2">
      <c r="A43" s="12">
        <v>1930</v>
      </c>
      <c r="B43" s="9" t="s">
        <v>12</v>
      </c>
    </row>
    <row r="44" spans="1:2">
      <c r="A44" s="11">
        <v>1944</v>
      </c>
      <c r="B44" s="9" t="s">
        <v>160</v>
      </c>
    </row>
    <row r="45" spans="1:2">
      <c r="A45" s="12">
        <v>1945</v>
      </c>
      <c r="B45" s="9" t="s">
        <v>348</v>
      </c>
    </row>
    <row r="46" spans="1:2">
      <c r="A46" s="11">
        <v>1961</v>
      </c>
      <c r="B46" s="9" t="s">
        <v>485</v>
      </c>
    </row>
    <row r="47" spans="1:2">
      <c r="A47" s="11">
        <v>1967</v>
      </c>
      <c r="B47" s="9" t="s">
        <v>326</v>
      </c>
    </row>
    <row r="48" spans="1:2">
      <c r="A48" s="12">
        <v>1971</v>
      </c>
      <c r="B48" s="9" t="s">
        <v>310</v>
      </c>
    </row>
    <row r="49" spans="1:2">
      <c r="A49" s="12">
        <v>1977</v>
      </c>
      <c r="B49" s="9" t="s">
        <v>549</v>
      </c>
    </row>
    <row r="50" spans="1:2">
      <c r="A50" s="11">
        <v>1981</v>
      </c>
      <c r="B50" s="9" t="s">
        <v>356</v>
      </c>
    </row>
    <row r="51" spans="1:2">
      <c r="A51" s="11">
        <v>1982</v>
      </c>
      <c r="B51" s="9" t="s">
        <v>26</v>
      </c>
    </row>
    <row r="52" spans="1:2">
      <c r="A52" s="11">
        <v>1991</v>
      </c>
      <c r="B52" s="9" t="s">
        <v>167</v>
      </c>
    </row>
    <row r="53" spans="1:2">
      <c r="A53" s="11">
        <v>1996</v>
      </c>
      <c r="B53" s="9" t="s">
        <v>520</v>
      </c>
    </row>
    <row r="54" spans="1:2">
      <c r="A54" s="11">
        <v>2000</v>
      </c>
      <c r="B54" s="9" t="s">
        <v>252</v>
      </c>
    </row>
    <row r="55" spans="1:2">
      <c r="A55" s="12">
        <v>2003</v>
      </c>
      <c r="B55" s="9" t="s">
        <v>10</v>
      </c>
    </row>
    <row r="56" spans="1:2">
      <c r="A56" s="8">
        <v>2004</v>
      </c>
      <c r="B56" s="9" t="s">
        <v>13</v>
      </c>
    </row>
    <row r="57" spans="1:2">
      <c r="A57" s="13">
        <v>2008</v>
      </c>
      <c r="B57" s="9" t="s">
        <v>462</v>
      </c>
    </row>
    <row r="58" spans="1:2">
      <c r="A58" s="8">
        <v>2015</v>
      </c>
      <c r="B58" s="14" t="s">
        <v>93</v>
      </c>
    </row>
    <row r="59" spans="1:2">
      <c r="A59" s="11">
        <v>2019</v>
      </c>
      <c r="B59" s="9" t="s">
        <v>159</v>
      </c>
    </row>
    <row r="60" spans="1:2">
      <c r="A60" s="12">
        <v>2021</v>
      </c>
      <c r="B60" s="9" t="s">
        <v>298</v>
      </c>
    </row>
    <row r="61" spans="1:2">
      <c r="A61" s="12">
        <v>2023</v>
      </c>
      <c r="B61" s="9" t="s">
        <v>526</v>
      </c>
    </row>
    <row r="62" spans="1:2">
      <c r="A62" s="11">
        <v>2034</v>
      </c>
      <c r="B62" s="9" t="s">
        <v>166</v>
      </c>
    </row>
    <row r="63" spans="1:2">
      <c r="A63" s="12">
        <v>2048</v>
      </c>
      <c r="B63" s="9" t="s">
        <v>307</v>
      </c>
    </row>
    <row r="64" spans="1:2">
      <c r="A64" s="11">
        <v>2062</v>
      </c>
      <c r="B64" s="9" t="s">
        <v>521</v>
      </c>
    </row>
    <row r="65" spans="1:2">
      <c r="A65" s="11">
        <v>2070</v>
      </c>
      <c r="B65" s="9" t="s">
        <v>427</v>
      </c>
    </row>
    <row r="66" spans="1:2">
      <c r="A66" s="11">
        <v>2072</v>
      </c>
      <c r="B66" s="9" t="s">
        <v>168</v>
      </c>
    </row>
    <row r="67" spans="1:2">
      <c r="A67" s="11">
        <v>2074</v>
      </c>
      <c r="B67" s="9" t="s">
        <v>429</v>
      </c>
    </row>
    <row r="68" spans="1:2">
      <c r="A68" s="12">
        <v>2082</v>
      </c>
      <c r="B68" s="9" t="s">
        <v>425</v>
      </c>
    </row>
    <row r="69" spans="1:2">
      <c r="A69" s="11">
        <v>2084</v>
      </c>
      <c r="B69" s="9" t="s">
        <v>111</v>
      </c>
    </row>
    <row r="70" spans="1:2">
      <c r="A70" s="11">
        <v>2087</v>
      </c>
      <c r="B70" s="9" t="s">
        <v>398</v>
      </c>
    </row>
    <row r="71" spans="1:2">
      <c r="A71" s="11">
        <v>2091</v>
      </c>
      <c r="B71" s="9" t="s">
        <v>112</v>
      </c>
    </row>
    <row r="72" spans="1:2">
      <c r="A72" s="13">
        <v>2102</v>
      </c>
      <c r="B72" s="9" t="s">
        <v>134</v>
      </c>
    </row>
    <row r="73" spans="1:2">
      <c r="A73" s="11">
        <v>2105</v>
      </c>
      <c r="B73" s="9" t="s">
        <v>19</v>
      </c>
    </row>
    <row r="74" spans="1:2">
      <c r="A74" s="12">
        <v>2108</v>
      </c>
      <c r="B74" s="9" t="s">
        <v>57</v>
      </c>
    </row>
    <row r="75" spans="1:2">
      <c r="A75" s="12">
        <v>2109</v>
      </c>
      <c r="B75" s="9" t="s">
        <v>58</v>
      </c>
    </row>
    <row r="76" spans="1:2">
      <c r="A76" s="11">
        <v>2125</v>
      </c>
      <c r="B76" s="15" t="s">
        <v>126</v>
      </c>
    </row>
    <row r="77" spans="1:2">
      <c r="A77" s="12">
        <v>2127</v>
      </c>
      <c r="B77" s="9" t="s">
        <v>351</v>
      </c>
    </row>
    <row r="78" spans="1:2">
      <c r="A78" s="11">
        <v>2129</v>
      </c>
      <c r="B78" s="9" t="s">
        <v>106</v>
      </c>
    </row>
    <row r="79" spans="1:2">
      <c r="A79" s="12">
        <v>2131</v>
      </c>
      <c r="B79" s="9" t="s">
        <v>30</v>
      </c>
    </row>
    <row r="80" spans="1:2">
      <c r="A80" s="12">
        <v>2134</v>
      </c>
      <c r="B80" s="9" t="s">
        <v>286</v>
      </c>
    </row>
    <row r="81" spans="1:2">
      <c r="A81" s="12">
        <v>2136</v>
      </c>
      <c r="B81" s="9" t="s">
        <v>94</v>
      </c>
    </row>
    <row r="82" spans="1:2">
      <c r="A82" s="8">
        <v>2141</v>
      </c>
      <c r="B82" s="9" t="s">
        <v>538</v>
      </c>
    </row>
    <row r="83" spans="1:2">
      <c r="A83" s="12">
        <v>2163</v>
      </c>
      <c r="B83" s="9" t="s">
        <v>122</v>
      </c>
    </row>
    <row r="84" spans="1:2">
      <c r="A84" s="11">
        <v>2173</v>
      </c>
      <c r="B84" s="9" t="s">
        <v>530</v>
      </c>
    </row>
    <row r="85" spans="1:2">
      <c r="A85" s="12">
        <v>2177</v>
      </c>
      <c r="B85" s="9" t="s">
        <v>423</v>
      </c>
    </row>
    <row r="86" spans="1:2">
      <c r="A86" s="12">
        <v>2189</v>
      </c>
      <c r="B86" s="9" t="s">
        <v>283</v>
      </c>
    </row>
    <row r="87" spans="1:2">
      <c r="A87" s="11">
        <v>2199</v>
      </c>
      <c r="B87" s="9" t="s">
        <v>553</v>
      </c>
    </row>
    <row r="88" spans="1:2">
      <c r="A88" s="11">
        <v>2258</v>
      </c>
      <c r="B88" s="9" t="s">
        <v>513</v>
      </c>
    </row>
    <row r="89" spans="1:2">
      <c r="A89" s="12">
        <v>2259</v>
      </c>
      <c r="B89" s="9" t="s">
        <v>403</v>
      </c>
    </row>
    <row r="90" spans="1:2">
      <c r="A90" s="13">
        <v>2263</v>
      </c>
      <c r="B90" s="16" t="s">
        <v>138</v>
      </c>
    </row>
    <row r="91" spans="1:2">
      <c r="A91" s="13">
        <v>2270</v>
      </c>
      <c r="B91" s="9" t="s">
        <v>327</v>
      </c>
    </row>
    <row r="92" spans="1:2">
      <c r="A92" s="12">
        <v>2273</v>
      </c>
      <c r="B92" s="9" t="s">
        <v>424</v>
      </c>
    </row>
    <row r="93" spans="1:2">
      <c r="A93" s="11">
        <v>2275</v>
      </c>
      <c r="B93" s="9" t="s">
        <v>359</v>
      </c>
    </row>
    <row r="94" spans="1:2">
      <c r="A94" s="12">
        <v>2291</v>
      </c>
      <c r="B94" s="9" t="s">
        <v>210</v>
      </c>
    </row>
    <row r="95" spans="1:2">
      <c r="A95" s="11">
        <v>2303</v>
      </c>
      <c r="B95" s="9" t="s">
        <v>105</v>
      </c>
    </row>
    <row r="96" spans="1:2">
      <c r="A96" s="11">
        <v>2308</v>
      </c>
      <c r="B96" s="9" t="s">
        <v>125</v>
      </c>
    </row>
    <row r="97" spans="1:2">
      <c r="A97" s="12">
        <v>2310</v>
      </c>
      <c r="B97" s="9" t="s">
        <v>350</v>
      </c>
    </row>
    <row r="98" spans="1:2">
      <c r="A98" s="12">
        <v>2314</v>
      </c>
      <c r="B98" s="9" t="s">
        <v>35</v>
      </c>
    </row>
    <row r="99" spans="1:2">
      <c r="A99" s="12">
        <v>2315</v>
      </c>
      <c r="B99" s="9" t="s">
        <v>36</v>
      </c>
    </row>
    <row r="100" spans="1:2">
      <c r="A100" s="11">
        <v>2317</v>
      </c>
      <c r="B100" s="9" t="s">
        <v>197</v>
      </c>
    </row>
    <row r="101" spans="1:2">
      <c r="A101" s="11">
        <v>2318</v>
      </c>
      <c r="B101" s="9" t="s">
        <v>196</v>
      </c>
    </row>
    <row r="102" spans="1:2">
      <c r="A102" s="12">
        <v>2324</v>
      </c>
      <c r="B102" s="9" t="s">
        <v>14</v>
      </c>
    </row>
    <row r="103" spans="1:2">
      <c r="A103" s="11">
        <v>2334</v>
      </c>
      <c r="B103" s="9" t="s">
        <v>439</v>
      </c>
    </row>
    <row r="104" spans="1:2">
      <c r="A104" s="11">
        <v>2338</v>
      </c>
      <c r="B104" s="9" t="s">
        <v>202</v>
      </c>
    </row>
    <row r="105" spans="1:2">
      <c r="A105" s="12">
        <v>2339</v>
      </c>
      <c r="B105" s="9" t="s">
        <v>146</v>
      </c>
    </row>
    <row r="106" spans="1:2">
      <c r="A106" s="12">
        <v>2349</v>
      </c>
      <c r="B106" s="9" t="s">
        <v>370</v>
      </c>
    </row>
    <row r="107" spans="1:2">
      <c r="A107" s="11">
        <v>2351</v>
      </c>
      <c r="B107" s="9" t="s">
        <v>225</v>
      </c>
    </row>
    <row r="108" spans="1:2">
      <c r="A108" s="12">
        <v>2353</v>
      </c>
      <c r="B108" s="9" t="s">
        <v>401</v>
      </c>
    </row>
    <row r="109" spans="1:2">
      <c r="A109" s="11">
        <v>2362</v>
      </c>
      <c r="B109" s="9" t="s">
        <v>437</v>
      </c>
    </row>
    <row r="110" spans="1:2">
      <c r="A110" s="11">
        <v>2369</v>
      </c>
      <c r="B110" s="9" t="s">
        <v>130</v>
      </c>
    </row>
    <row r="111" spans="1:2">
      <c r="A111" s="11">
        <v>2373</v>
      </c>
      <c r="B111" s="9" t="s">
        <v>492</v>
      </c>
    </row>
    <row r="112" spans="1:2">
      <c r="A112" s="12">
        <v>2374</v>
      </c>
      <c r="B112" s="9" t="s">
        <v>98</v>
      </c>
    </row>
    <row r="113" spans="1:2">
      <c r="A113" s="12">
        <v>2377</v>
      </c>
      <c r="B113" s="9" t="s">
        <v>303</v>
      </c>
    </row>
    <row r="114" spans="1:2">
      <c r="A114" s="12">
        <v>2379</v>
      </c>
      <c r="B114" s="9" t="s">
        <v>240</v>
      </c>
    </row>
    <row r="115" spans="1:2">
      <c r="A115" s="11">
        <v>2384</v>
      </c>
      <c r="B115" s="9" t="s">
        <v>477</v>
      </c>
    </row>
    <row r="116" spans="1:2">
      <c r="A116" s="8">
        <v>2387</v>
      </c>
      <c r="B116" s="9" t="s">
        <v>536</v>
      </c>
    </row>
    <row r="117" spans="1:2">
      <c r="A117" s="11">
        <v>2390</v>
      </c>
      <c r="B117" s="9" t="s">
        <v>433</v>
      </c>
    </row>
    <row r="118" spans="1:2">
      <c r="A118" s="11">
        <v>2391</v>
      </c>
      <c r="B118" s="9" t="s">
        <v>434</v>
      </c>
    </row>
    <row r="119" spans="1:2">
      <c r="A119" s="8">
        <v>2392</v>
      </c>
      <c r="B119" s="9" t="s">
        <v>15</v>
      </c>
    </row>
    <row r="120" spans="1:2">
      <c r="A120" s="11">
        <v>2398</v>
      </c>
      <c r="B120" s="16" t="s">
        <v>137</v>
      </c>
    </row>
    <row r="121" spans="1:2">
      <c r="A121" s="13">
        <v>2400</v>
      </c>
      <c r="B121" s="9" t="s">
        <v>315</v>
      </c>
    </row>
    <row r="122" spans="1:2">
      <c r="A122" s="12">
        <v>2403</v>
      </c>
      <c r="B122" s="9" t="s">
        <v>97</v>
      </c>
    </row>
    <row r="123" spans="1:2">
      <c r="A123" s="11">
        <v>2406</v>
      </c>
      <c r="B123" s="15" t="s">
        <v>129</v>
      </c>
    </row>
    <row r="124" spans="1:2">
      <c r="A124" s="11">
        <v>2407</v>
      </c>
      <c r="B124" s="9" t="s">
        <v>69</v>
      </c>
    </row>
    <row r="125" spans="1:2">
      <c r="A125" s="11">
        <v>2411</v>
      </c>
      <c r="B125" s="9" t="s">
        <v>70</v>
      </c>
    </row>
    <row r="126" spans="1:2">
      <c r="A126" s="11">
        <v>2414</v>
      </c>
      <c r="B126" s="9" t="s">
        <v>39</v>
      </c>
    </row>
    <row r="127" spans="1:2">
      <c r="A127" s="12">
        <v>2416</v>
      </c>
      <c r="B127" s="17" t="s">
        <v>90</v>
      </c>
    </row>
    <row r="128" spans="1:2">
      <c r="A128" s="12">
        <v>2419</v>
      </c>
      <c r="B128" s="17" t="s">
        <v>469</v>
      </c>
    </row>
    <row r="129" spans="1:2">
      <c r="A129" s="12">
        <v>2424</v>
      </c>
      <c r="B129" s="17" t="s">
        <v>448</v>
      </c>
    </row>
    <row r="130" spans="1:2">
      <c r="A130" s="11">
        <v>2426</v>
      </c>
      <c r="B130" s="9" t="s">
        <v>360</v>
      </c>
    </row>
    <row r="131" spans="1:2">
      <c r="A131" s="12">
        <v>2434</v>
      </c>
      <c r="B131" s="9" t="s">
        <v>345</v>
      </c>
    </row>
    <row r="132" spans="1:2">
      <c r="A132" s="12">
        <v>2435</v>
      </c>
      <c r="B132" s="9" t="s">
        <v>346</v>
      </c>
    </row>
    <row r="133" spans="1:2">
      <c r="A133" s="12">
        <v>2436</v>
      </c>
      <c r="B133" s="9" t="s">
        <v>321</v>
      </c>
    </row>
    <row r="134" spans="1:2">
      <c r="A134" s="12">
        <v>2437</v>
      </c>
      <c r="B134" s="9" t="s">
        <v>472</v>
      </c>
    </row>
    <row r="135" spans="1:2">
      <c r="A135" s="12">
        <v>2443</v>
      </c>
      <c r="B135" s="9" t="s">
        <v>506</v>
      </c>
    </row>
    <row r="136" spans="1:2">
      <c r="A136" s="11">
        <v>2447</v>
      </c>
      <c r="B136" s="9" t="s">
        <v>528</v>
      </c>
    </row>
    <row r="137" spans="1:2">
      <c r="A137" s="11">
        <v>2448</v>
      </c>
      <c r="B137" s="9" t="s">
        <v>527</v>
      </c>
    </row>
    <row r="138" spans="1:2">
      <c r="A138" s="11">
        <v>2449</v>
      </c>
      <c r="B138" s="9" t="s">
        <v>277</v>
      </c>
    </row>
    <row r="139" spans="1:2">
      <c r="A139" s="12">
        <v>2452</v>
      </c>
      <c r="B139" s="9" t="s">
        <v>539</v>
      </c>
    </row>
    <row r="140" spans="1:2">
      <c r="A140" s="11">
        <v>2453</v>
      </c>
      <c r="B140" s="9" t="s">
        <v>457</v>
      </c>
    </row>
    <row r="141" spans="1:2">
      <c r="A141" s="11">
        <v>2456</v>
      </c>
      <c r="B141" s="9" t="s">
        <v>40</v>
      </c>
    </row>
    <row r="142" spans="1:2">
      <c r="A142" s="11">
        <v>2457</v>
      </c>
      <c r="B142" s="9" t="s">
        <v>430</v>
      </c>
    </row>
    <row r="143" spans="1:2">
      <c r="A143" s="8">
        <v>2459</v>
      </c>
      <c r="B143" s="9" t="s">
        <v>471</v>
      </c>
    </row>
    <row r="144" spans="1:2">
      <c r="A144" s="11">
        <v>2462</v>
      </c>
      <c r="B144" s="9" t="s">
        <v>222</v>
      </c>
    </row>
    <row r="145" spans="1:2">
      <c r="A145" s="12">
        <v>2470</v>
      </c>
      <c r="B145" s="9" t="s">
        <v>300</v>
      </c>
    </row>
    <row r="146" spans="1:2">
      <c r="A146" s="12">
        <v>2471</v>
      </c>
      <c r="B146" s="9" t="s">
        <v>37</v>
      </c>
    </row>
    <row r="147" spans="1:2">
      <c r="A147" s="8">
        <v>2472</v>
      </c>
      <c r="B147" s="9" t="s">
        <v>394</v>
      </c>
    </row>
    <row r="148" spans="1:2">
      <c r="A148" s="13">
        <v>2473</v>
      </c>
      <c r="B148" s="9" t="s">
        <v>395</v>
      </c>
    </row>
    <row r="149" spans="1:2">
      <c r="A149" s="11">
        <v>2478</v>
      </c>
      <c r="B149" s="9" t="s">
        <v>414</v>
      </c>
    </row>
    <row r="150" spans="1:2">
      <c r="A150" s="11">
        <v>2479</v>
      </c>
      <c r="B150" s="9" t="s">
        <v>507</v>
      </c>
    </row>
    <row r="151" spans="1:2">
      <c r="A151" s="11">
        <v>2481</v>
      </c>
      <c r="B151" s="9" t="s">
        <v>104</v>
      </c>
    </row>
    <row r="152" spans="1:2">
      <c r="A152" s="12">
        <v>2482</v>
      </c>
      <c r="B152" s="9" t="s">
        <v>470</v>
      </c>
    </row>
    <row r="153" spans="1:2">
      <c r="A153" s="11">
        <v>2484</v>
      </c>
      <c r="B153" s="9" t="s">
        <v>65</v>
      </c>
    </row>
    <row r="154" spans="1:2">
      <c r="A154" s="12">
        <v>2485</v>
      </c>
      <c r="B154" s="9" t="s">
        <v>392</v>
      </c>
    </row>
    <row r="155" spans="1:2">
      <c r="A155" s="11">
        <v>2488</v>
      </c>
      <c r="B155" s="9" t="s">
        <v>543</v>
      </c>
    </row>
    <row r="156" spans="1:2">
      <c r="A156" s="11">
        <v>2489</v>
      </c>
      <c r="B156" s="9" t="s">
        <v>29</v>
      </c>
    </row>
    <row r="157" spans="1:2">
      <c r="A157" s="11">
        <v>2490</v>
      </c>
      <c r="B157" s="9" t="s">
        <v>407</v>
      </c>
    </row>
    <row r="158" spans="1:2">
      <c r="A158" s="11">
        <v>2492</v>
      </c>
      <c r="B158" s="9" t="s">
        <v>38</v>
      </c>
    </row>
    <row r="159" spans="1:2">
      <c r="A159" s="11">
        <v>2494</v>
      </c>
      <c r="B159" s="9" t="s">
        <v>440</v>
      </c>
    </row>
    <row r="160" spans="1:2">
      <c r="A160" s="12">
        <v>2497</v>
      </c>
      <c r="B160" s="9" t="s">
        <v>153</v>
      </c>
    </row>
    <row r="161" spans="1:2">
      <c r="A161" s="12">
        <v>2498</v>
      </c>
      <c r="B161" s="9" t="s">
        <v>177</v>
      </c>
    </row>
    <row r="162" spans="1:2">
      <c r="A162" s="11">
        <v>2500</v>
      </c>
      <c r="B162" s="9" t="s">
        <v>68</v>
      </c>
    </row>
    <row r="163" spans="1:2">
      <c r="A163" s="12">
        <v>2505</v>
      </c>
      <c r="B163" s="9" t="s">
        <v>391</v>
      </c>
    </row>
    <row r="164" spans="1:2">
      <c r="A164" s="12">
        <v>2506</v>
      </c>
      <c r="B164" s="9" t="s">
        <v>488</v>
      </c>
    </row>
    <row r="165" spans="1:2">
      <c r="A165" s="12">
        <v>2508</v>
      </c>
      <c r="B165" s="9" t="s">
        <v>402</v>
      </c>
    </row>
    <row r="166" spans="1:2">
      <c r="A166" s="12">
        <v>2509</v>
      </c>
      <c r="B166" s="9" t="s">
        <v>491</v>
      </c>
    </row>
    <row r="167" spans="1:2">
      <c r="A167" s="11">
        <v>2510</v>
      </c>
      <c r="B167" s="9" t="s">
        <v>451</v>
      </c>
    </row>
    <row r="168" spans="1:2">
      <c r="A168" s="12">
        <v>2511</v>
      </c>
      <c r="B168" s="9" t="s">
        <v>209</v>
      </c>
    </row>
    <row r="169" spans="1:2">
      <c r="A169" s="11">
        <v>2521</v>
      </c>
      <c r="B169" s="9" t="s">
        <v>224</v>
      </c>
    </row>
    <row r="170" spans="1:2">
      <c r="A170" s="13">
        <v>2523</v>
      </c>
      <c r="B170" s="9" t="s">
        <v>364</v>
      </c>
    </row>
    <row r="171" spans="1:2">
      <c r="A171" s="11">
        <v>2525</v>
      </c>
      <c r="B171" s="9" t="s">
        <v>500</v>
      </c>
    </row>
    <row r="172" spans="1:2">
      <c r="A172" s="12">
        <v>2527</v>
      </c>
      <c r="B172" s="9" t="s">
        <v>60</v>
      </c>
    </row>
    <row r="173" spans="1:2">
      <c r="A173" s="11">
        <v>2529</v>
      </c>
      <c r="B173" s="9" t="s">
        <v>493</v>
      </c>
    </row>
    <row r="174" spans="1:2">
      <c r="A174" s="12">
        <v>2531</v>
      </c>
      <c r="B174" s="9" t="s">
        <v>446</v>
      </c>
    </row>
    <row r="175" spans="1:2">
      <c r="A175" s="12">
        <v>2532</v>
      </c>
      <c r="B175" s="9" t="s">
        <v>267</v>
      </c>
    </row>
    <row r="176" spans="1:2">
      <c r="A176" s="8">
        <v>2533</v>
      </c>
      <c r="B176" s="9" t="s">
        <v>447</v>
      </c>
    </row>
    <row r="177" spans="1:2">
      <c r="A177" s="11">
        <v>2537</v>
      </c>
      <c r="B177" s="9" t="s">
        <v>409</v>
      </c>
    </row>
    <row r="178" spans="1:2">
      <c r="A178" s="13">
        <v>2538</v>
      </c>
      <c r="B178" s="9" t="s">
        <v>498</v>
      </c>
    </row>
    <row r="179" spans="1:2">
      <c r="A179" s="11">
        <v>2539</v>
      </c>
      <c r="B179" s="9" t="s">
        <v>228</v>
      </c>
    </row>
    <row r="180" spans="1:2">
      <c r="A180" s="13">
        <v>2541</v>
      </c>
      <c r="B180" s="9" t="s">
        <v>555</v>
      </c>
    </row>
    <row r="181" spans="1:2">
      <c r="A181" s="11">
        <v>2548</v>
      </c>
      <c r="B181" s="9" t="s">
        <v>131</v>
      </c>
    </row>
    <row r="182" spans="1:2">
      <c r="A182" s="11">
        <v>2551</v>
      </c>
      <c r="B182" s="9" t="s">
        <v>514</v>
      </c>
    </row>
    <row r="183" spans="1:2">
      <c r="A183" s="11">
        <v>2553</v>
      </c>
      <c r="B183" s="9" t="s">
        <v>55</v>
      </c>
    </row>
    <row r="184" spans="1:2">
      <c r="A184" s="13">
        <v>2554</v>
      </c>
      <c r="B184" s="9" t="s">
        <v>169</v>
      </c>
    </row>
    <row r="185" spans="1:2">
      <c r="A185" s="11">
        <v>2555</v>
      </c>
      <c r="B185" s="9" t="s">
        <v>25</v>
      </c>
    </row>
    <row r="186" spans="1:2">
      <c r="A186" s="11">
        <v>2556</v>
      </c>
      <c r="B186" s="9" t="s">
        <v>89</v>
      </c>
    </row>
    <row r="187" spans="1:2">
      <c r="A187" s="11">
        <v>2557</v>
      </c>
      <c r="B187" s="9" t="s">
        <v>41</v>
      </c>
    </row>
    <row r="188" spans="1:2">
      <c r="A188" s="12">
        <v>2559</v>
      </c>
      <c r="B188" s="9" t="s">
        <v>33</v>
      </c>
    </row>
    <row r="189" spans="1:2">
      <c r="A189" s="12">
        <v>2561</v>
      </c>
      <c r="B189" s="9" t="s">
        <v>217</v>
      </c>
    </row>
    <row r="190" spans="1:2">
      <c r="A190" s="12">
        <v>2562</v>
      </c>
      <c r="B190" s="9" t="s">
        <v>268</v>
      </c>
    </row>
    <row r="191" spans="1:2">
      <c r="A191" s="12">
        <v>2563</v>
      </c>
      <c r="B191" s="9" t="s">
        <v>49</v>
      </c>
    </row>
    <row r="192" spans="1:2">
      <c r="A192" s="11">
        <v>2564</v>
      </c>
      <c r="B192" s="9" t="s">
        <v>511</v>
      </c>
    </row>
    <row r="193" spans="1:2">
      <c r="A193" s="12">
        <v>2565</v>
      </c>
      <c r="B193" s="9" t="s">
        <v>187</v>
      </c>
    </row>
    <row r="194" spans="1:2">
      <c r="A194" s="11">
        <v>2566</v>
      </c>
      <c r="B194" s="9" t="s">
        <v>494</v>
      </c>
    </row>
    <row r="195" spans="1:2">
      <c r="A195" s="11">
        <v>2567</v>
      </c>
      <c r="B195" s="9" t="s">
        <v>79</v>
      </c>
    </row>
    <row r="196" spans="1:2">
      <c r="A196" s="11">
        <v>2568</v>
      </c>
      <c r="B196" s="9" t="s">
        <v>80</v>
      </c>
    </row>
    <row r="197" spans="1:2">
      <c r="A197" s="12">
        <v>2569</v>
      </c>
      <c r="B197" s="9" t="s">
        <v>487</v>
      </c>
    </row>
    <row r="198" spans="1:2">
      <c r="A198" s="11">
        <v>2570</v>
      </c>
      <c r="B198" s="9" t="s">
        <v>16</v>
      </c>
    </row>
    <row r="199" spans="1:2">
      <c r="A199" s="11">
        <v>2571</v>
      </c>
      <c r="B199" s="9" t="s">
        <v>17</v>
      </c>
    </row>
    <row r="200" spans="1:2">
      <c r="A200" s="11">
        <v>2572</v>
      </c>
      <c r="B200" s="9" t="s">
        <v>353</v>
      </c>
    </row>
    <row r="201" spans="1:2">
      <c r="A201" s="11">
        <v>2575</v>
      </c>
      <c r="B201" s="9" t="s">
        <v>76</v>
      </c>
    </row>
    <row r="202" spans="1:2">
      <c r="A202" s="11">
        <v>2576</v>
      </c>
      <c r="B202" s="9" t="s">
        <v>96</v>
      </c>
    </row>
    <row r="203" spans="1:2">
      <c r="A203" s="11">
        <v>2577</v>
      </c>
      <c r="B203" s="9" t="s">
        <v>165</v>
      </c>
    </row>
    <row r="204" spans="1:2">
      <c r="A204" s="12">
        <v>2578</v>
      </c>
      <c r="B204" s="9" t="s">
        <v>400</v>
      </c>
    </row>
    <row r="205" spans="1:2">
      <c r="A205" s="11">
        <v>2579</v>
      </c>
      <c r="B205" s="9" t="s">
        <v>214</v>
      </c>
    </row>
    <row r="206" spans="1:2">
      <c r="A206" s="12">
        <v>2580</v>
      </c>
      <c r="B206" s="9" t="s">
        <v>489</v>
      </c>
    </row>
    <row r="207" spans="1:2">
      <c r="A207" s="11">
        <v>2581</v>
      </c>
      <c r="B207" s="9" t="s">
        <v>75</v>
      </c>
    </row>
    <row r="208" spans="1:2">
      <c r="A208" s="12">
        <v>2583</v>
      </c>
      <c r="B208" s="9" t="s">
        <v>173</v>
      </c>
    </row>
    <row r="209" spans="1:2">
      <c r="A209" s="8">
        <v>2584</v>
      </c>
      <c r="B209" s="9" t="s">
        <v>172</v>
      </c>
    </row>
    <row r="210" spans="1:2">
      <c r="A210" s="12">
        <v>2588</v>
      </c>
      <c r="B210" s="9" t="s">
        <v>34</v>
      </c>
    </row>
    <row r="211" spans="1:2">
      <c r="A211" s="11">
        <v>2595</v>
      </c>
      <c r="B211" s="9" t="s">
        <v>454</v>
      </c>
    </row>
    <row r="212" spans="1:2">
      <c r="A212" s="12">
        <v>2596</v>
      </c>
      <c r="B212" s="9" t="s">
        <v>344</v>
      </c>
    </row>
    <row r="213" spans="1:2">
      <c r="A213" s="8">
        <v>2597</v>
      </c>
      <c r="B213" s="9" t="s">
        <v>295</v>
      </c>
    </row>
    <row r="214" spans="1:2">
      <c r="A214" s="11">
        <v>2601</v>
      </c>
      <c r="B214" s="9" t="s">
        <v>357</v>
      </c>
    </row>
    <row r="215" spans="1:2">
      <c r="A215" s="11">
        <v>2609</v>
      </c>
      <c r="B215" s="9" t="s">
        <v>278</v>
      </c>
    </row>
    <row r="216" spans="1:2">
      <c r="A216" s="12">
        <v>2610</v>
      </c>
      <c r="B216" s="9" t="s">
        <v>59</v>
      </c>
    </row>
    <row r="217" spans="1:2">
      <c r="A217" s="12">
        <v>2612</v>
      </c>
      <c r="B217" s="9" t="s">
        <v>61</v>
      </c>
    </row>
    <row r="218" spans="1:2">
      <c r="A218" s="12">
        <v>2613</v>
      </c>
      <c r="B218" s="9" t="s">
        <v>399</v>
      </c>
    </row>
    <row r="219" spans="1:2">
      <c r="A219" s="12">
        <v>2614</v>
      </c>
      <c r="B219" s="9" t="s">
        <v>260</v>
      </c>
    </row>
    <row r="220" spans="1:2">
      <c r="A220" s="12">
        <v>2615</v>
      </c>
      <c r="B220" s="9" t="s">
        <v>174</v>
      </c>
    </row>
    <row r="221" spans="1:2">
      <c r="A221" s="13">
        <v>2616</v>
      </c>
      <c r="B221" s="9" t="s">
        <v>81</v>
      </c>
    </row>
    <row r="222" spans="1:2">
      <c r="A222" s="13">
        <v>2617</v>
      </c>
      <c r="B222" s="9" t="s">
        <v>397</v>
      </c>
    </row>
    <row r="223" spans="1:2">
      <c r="A223" s="11">
        <v>2619</v>
      </c>
      <c r="B223" s="9" t="s">
        <v>431</v>
      </c>
    </row>
    <row r="224" spans="1:2">
      <c r="A224" s="11">
        <v>2620</v>
      </c>
      <c r="B224" s="9" t="s">
        <v>383</v>
      </c>
    </row>
    <row r="225" spans="1:2">
      <c r="A225" s="12">
        <v>2624</v>
      </c>
      <c r="B225" s="9" t="s">
        <v>313</v>
      </c>
    </row>
    <row r="226" spans="1:2">
      <c r="A226" s="11">
        <v>2625</v>
      </c>
      <c r="B226" s="9" t="s">
        <v>380</v>
      </c>
    </row>
    <row r="227" spans="1:2">
      <c r="A227" s="11">
        <v>2626</v>
      </c>
      <c r="B227" s="9" t="s">
        <v>455</v>
      </c>
    </row>
    <row r="228" spans="1:2">
      <c r="A228" s="12">
        <v>2627</v>
      </c>
      <c r="B228" s="9" t="s">
        <v>393</v>
      </c>
    </row>
    <row r="229" spans="1:2">
      <c r="A229" s="11">
        <v>2628</v>
      </c>
      <c r="B229" s="9" t="s">
        <v>438</v>
      </c>
    </row>
    <row r="230" spans="1:2">
      <c r="A230" s="12">
        <v>2631</v>
      </c>
      <c r="B230" s="9" t="s">
        <v>288</v>
      </c>
    </row>
    <row r="231" spans="1:2">
      <c r="A231" s="11">
        <v>2632</v>
      </c>
      <c r="B231" s="9" t="s">
        <v>54</v>
      </c>
    </row>
    <row r="232" spans="1:2">
      <c r="A232" s="11">
        <v>2634</v>
      </c>
      <c r="B232" s="9" t="s">
        <v>362</v>
      </c>
    </row>
    <row r="233" spans="1:2">
      <c r="A233" s="11">
        <v>2636</v>
      </c>
      <c r="B233" s="9" t="s">
        <v>64</v>
      </c>
    </row>
    <row r="234" spans="1:2">
      <c r="A234" s="11">
        <v>2638</v>
      </c>
      <c r="B234" s="9" t="s">
        <v>552</v>
      </c>
    </row>
    <row r="235" spans="1:2">
      <c r="A235" s="11">
        <v>2639</v>
      </c>
      <c r="B235" s="9" t="s">
        <v>541</v>
      </c>
    </row>
    <row r="236" spans="1:2">
      <c r="A236" s="11">
        <v>2641</v>
      </c>
      <c r="B236" s="9" t="s">
        <v>532</v>
      </c>
    </row>
    <row r="237" spans="1:2">
      <c r="A237" s="12">
        <v>2642</v>
      </c>
      <c r="B237" s="9" t="s">
        <v>296</v>
      </c>
    </row>
    <row r="238" spans="1:2">
      <c r="A238" s="11">
        <v>2643</v>
      </c>
      <c r="B238" s="9" t="s">
        <v>557</v>
      </c>
    </row>
    <row r="239" spans="1:2">
      <c r="A239" s="11">
        <v>2645</v>
      </c>
      <c r="B239" s="9" t="s">
        <v>212</v>
      </c>
    </row>
    <row r="240" spans="1:2">
      <c r="A240" s="11">
        <v>2647</v>
      </c>
      <c r="B240" s="9" t="s">
        <v>316</v>
      </c>
    </row>
    <row r="241" spans="1:2">
      <c r="A241" s="11">
        <v>2654</v>
      </c>
      <c r="B241" s="9" t="s">
        <v>229</v>
      </c>
    </row>
    <row r="242" spans="1:2">
      <c r="A242" s="11">
        <v>2655</v>
      </c>
      <c r="B242" s="9" t="s">
        <v>456</v>
      </c>
    </row>
    <row r="243" spans="1:2">
      <c r="A243" s="11">
        <v>2657</v>
      </c>
      <c r="B243" s="9" t="s">
        <v>519</v>
      </c>
    </row>
    <row r="244" spans="1:2">
      <c r="A244" s="11">
        <v>2658</v>
      </c>
      <c r="B244" s="9" t="s">
        <v>442</v>
      </c>
    </row>
    <row r="245" spans="1:2">
      <c r="A245" s="13">
        <v>2661</v>
      </c>
      <c r="B245" s="9" t="s">
        <v>444</v>
      </c>
    </row>
    <row r="246" spans="1:2">
      <c r="A246" s="13">
        <v>2663</v>
      </c>
      <c r="B246" s="9" t="s">
        <v>89</v>
      </c>
    </row>
    <row r="247" spans="1:2">
      <c r="A247" s="11">
        <v>2667</v>
      </c>
      <c r="B247" s="9" t="s">
        <v>85</v>
      </c>
    </row>
    <row r="248" spans="1:2">
      <c r="A248" s="12">
        <v>2668</v>
      </c>
      <c r="B248" s="9" t="s">
        <v>284</v>
      </c>
    </row>
    <row r="249" spans="1:2">
      <c r="A249" s="8">
        <v>2669</v>
      </c>
      <c r="B249" s="9" t="s">
        <v>285</v>
      </c>
    </row>
    <row r="250" spans="1:2">
      <c r="A250" s="11">
        <v>2672</v>
      </c>
      <c r="B250" s="9" t="s">
        <v>517</v>
      </c>
    </row>
    <row r="251" spans="1:2">
      <c r="A251" s="12">
        <v>2674</v>
      </c>
      <c r="B251" s="9" t="s">
        <v>171</v>
      </c>
    </row>
    <row r="252" spans="1:2">
      <c r="A252" s="12">
        <v>2679</v>
      </c>
      <c r="B252" s="9" t="s">
        <v>45</v>
      </c>
    </row>
    <row r="253" spans="1:2">
      <c r="A253" s="11">
        <v>2684</v>
      </c>
      <c r="B253" s="9" t="s">
        <v>141</v>
      </c>
    </row>
    <row r="254" spans="1:2">
      <c r="A254" s="11">
        <v>2689</v>
      </c>
      <c r="B254" s="9" t="s">
        <v>276</v>
      </c>
    </row>
    <row r="255" spans="1:2">
      <c r="A255" s="11">
        <v>2691</v>
      </c>
      <c r="B255" s="9" t="s">
        <v>358</v>
      </c>
    </row>
    <row r="256" spans="1:2">
      <c r="A256" s="11">
        <v>2692</v>
      </c>
      <c r="B256" s="9" t="s">
        <v>292</v>
      </c>
    </row>
    <row r="257" spans="1:2">
      <c r="A257" s="11">
        <v>2696</v>
      </c>
      <c r="B257" s="9" t="s">
        <v>497</v>
      </c>
    </row>
    <row r="258" spans="1:2">
      <c r="A258" s="11">
        <v>2697</v>
      </c>
      <c r="B258" s="9" t="s">
        <v>291</v>
      </c>
    </row>
    <row r="259" spans="1:2">
      <c r="A259" s="11">
        <v>2698</v>
      </c>
      <c r="B259" s="9" t="s">
        <v>290</v>
      </c>
    </row>
    <row r="260" spans="1:2">
      <c r="A260" s="11">
        <v>2699</v>
      </c>
      <c r="B260" s="9" t="s">
        <v>289</v>
      </c>
    </row>
    <row r="261" spans="1:2">
      <c r="A261" s="13">
        <v>2702</v>
      </c>
      <c r="B261" s="9" t="s">
        <v>198</v>
      </c>
    </row>
    <row r="262" spans="1:2">
      <c r="A262" s="11">
        <v>2703</v>
      </c>
      <c r="B262" s="9" t="s">
        <v>481</v>
      </c>
    </row>
    <row r="263" spans="1:2">
      <c r="A263" s="11">
        <v>2704</v>
      </c>
      <c r="B263" s="9" t="s">
        <v>482</v>
      </c>
    </row>
    <row r="264" spans="1:2">
      <c r="A264" s="11">
        <v>2706</v>
      </c>
      <c r="B264" s="9" t="s">
        <v>42</v>
      </c>
    </row>
    <row r="265" spans="1:2">
      <c r="A265" s="13">
        <v>2707</v>
      </c>
      <c r="B265" s="9" t="s">
        <v>529</v>
      </c>
    </row>
    <row r="266" spans="1:2">
      <c r="A266" s="8">
        <v>2709</v>
      </c>
      <c r="B266" s="9" t="s">
        <v>262</v>
      </c>
    </row>
    <row r="267" spans="1:2">
      <c r="A267" s="12">
        <v>2710</v>
      </c>
      <c r="B267" s="9" t="s">
        <v>263</v>
      </c>
    </row>
    <row r="268" spans="1:2">
      <c r="A268" s="13">
        <v>2712</v>
      </c>
      <c r="B268" s="9" t="s">
        <v>332</v>
      </c>
    </row>
    <row r="269" spans="1:2">
      <c r="A269" s="11">
        <v>2717</v>
      </c>
      <c r="B269" s="9" t="s">
        <v>67</v>
      </c>
    </row>
    <row r="270" spans="1:2">
      <c r="A270" s="8">
        <v>2718</v>
      </c>
      <c r="B270" s="9" t="s">
        <v>71</v>
      </c>
    </row>
    <row r="271" spans="1:2">
      <c r="A271" s="11">
        <v>2719</v>
      </c>
      <c r="B271" s="9" t="s">
        <v>88</v>
      </c>
    </row>
    <row r="272" spans="1:2">
      <c r="A272" s="11">
        <v>2720</v>
      </c>
      <c r="B272" s="9" t="s">
        <v>56</v>
      </c>
    </row>
    <row r="273" spans="1:2">
      <c r="A273" s="11">
        <v>2721</v>
      </c>
      <c r="B273" s="9" t="s">
        <v>110</v>
      </c>
    </row>
    <row r="274" spans="1:2">
      <c r="A274" s="12">
        <v>2722</v>
      </c>
      <c r="B274" s="9" t="s">
        <v>114</v>
      </c>
    </row>
    <row r="275" spans="1:2">
      <c r="A275" s="12">
        <v>2723</v>
      </c>
      <c r="B275" s="9" t="s">
        <v>116</v>
      </c>
    </row>
    <row r="276" spans="1:2">
      <c r="A276" s="12">
        <v>2724</v>
      </c>
      <c r="B276" s="9" t="s">
        <v>117</v>
      </c>
    </row>
    <row r="277" spans="1:2">
      <c r="A277" s="12">
        <v>2725</v>
      </c>
      <c r="B277" s="9" t="s">
        <v>119</v>
      </c>
    </row>
    <row r="278" spans="1:2">
      <c r="A278" s="11">
        <v>2726</v>
      </c>
      <c r="B278" s="9" t="s">
        <v>140</v>
      </c>
    </row>
    <row r="279" spans="1:2">
      <c r="A279" s="11">
        <v>2727</v>
      </c>
      <c r="B279" s="9" t="s">
        <v>139</v>
      </c>
    </row>
    <row r="280" spans="1:2">
      <c r="A280" s="12">
        <v>2728</v>
      </c>
      <c r="B280" s="9" t="s">
        <v>142</v>
      </c>
    </row>
    <row r="281" spans="1:2">
      <c r="A281" s="12">
        <v>2729</v>
      </c>
      <c r="B281" s="9" t="s">
        <v>180</v>
      </c>
    </row>
    <row r="282" spans="1:2">
      <c r="A282" s="12">
        <v>2730</v>
      </c>
      <c r="B282" s="9" t="s">
        <v>181</v>
      </c>
    </row>
    <row r="283" spans="1:2">
      <c r="A283" s="12">
        <v>2731</v>
      </c>
      <c r="B283" s="9" t="s">
        <v>185</v>
      </c>
    </row>
    <row r="284" spans="1:2">
      <c r="A284" s="8">
        <v>2732</v>
      </c>
      <c r="B284" s="9" t="s">
        <v>186</v>
      </c>
    </row>
    <row r="285" spans="1:2">
      <c r="A285" s="11">
        <v>2733</v>
      </c>
      <c r="B285" s="9" t="s">
        <v>509</v>
      </c>
    </row>
    <row r="286" spans="1:2">
      <c r="A286" s="11">
        <v>2734</v>
      </c>
      <c r="B286" s="9" t="s">
        <v>365</v>
      </c>
    </row>
    <row r="287" spans="1:2">
      <c r="A287" s="8">
        <v>2735</v>
      </c>
      <c r="B287" s="9" t="s">
        <v>369</v>
      </c>
    </row>
    <row r="288" spans="1:2">
      <c r="A288" s="11">
        <v>2736</v>
      </c>
      <c r="B288" s="9" t="s">
        <v>366</v>
      </c>
    </row>
    <row r="289" spans="1:2">
      <c r="A289" s="11">
        <v>2737</v>
      </c>
      <c r="B289" s="9" t="s">
        <v>389</v>
      </c>
    </row>
    <row r="290" spans="1:2">
      <c r="A290" s="11">
        <v>2738</v>
      </c>
      <c r="B290" s="9" t="s">
        <v>374</v>
      </c>
    </row>
    <row r="291" spans="1:2">
      <c r="A291" s="11">
        <v>2739</v>
      </c>
      <c r="B291" s="9" t="s">
        <v>387</v>
      </c>
    </row>
    <row r="292" spans="1:2">
      <c r="A292" s="11">
        <v>2740</v>
      </c>
      <c r="B292" s="9" t="s">
        <v>384</v>
      </c>
    </row>
    <row r="293" spans="1:2">
      <c r="A293" s="11">
        <v>2741</v>
      </c>
      <c r="B293" s="9" t="s">
        <v>378</v>
      </c>
    </row>
    <row r="294" spans="1:2">
      <c r="A294" s="11">
        <v>2744</v>
      </c>
      <c r="B294" s="9" t="s">
        <v>404</v>
      </c>
    </row>
    <row r="295" spans="1:2">
      <c r="A295" s="11">
        <v>2745</v>
      </c>
      <c r="B295" s="9" t="s">
        <v>411</v>
      </c>
    </row>
    <row r="296" spans="1:2">
      <c r="A296" s="13">
        <v>2746</v>
      </c>
      <c r="B296" s="14" t="s">
        <v>412</v>
      </c>
    </row>
    <row r="297" spans="1:2">
      <c r="A297" s="11">
        <v>2747</v>
      </c>
      <c r="B297" s="9" t="s">
        <v>413</v>
      </c>
    </row>
    <row r="298" spans="1:2">
      <c r="A298" s="11">
        <v>2748</v>
      </c>
      <c r="B298" s="9" t="s">
        <v>415</v>
      </c>
    </row>
    <row r="299" spans="1:2">
      <c r="A299" s="11">
        <v>2751</v>
      </c>
      <c r="B299" s="9" t="s">
        <v>435</v>
      </c>
    </row>
    <row r="300" spans="1:2">
      <c r="A300" s="13">
        <v>2752</v>
      </c>
      <c r="B300" s="9" t="s">
        <v>443</v>
      </c>
    </row>
    <row r="301" spans="1:2">
      <c r="A301" s="12">
        <v>2753</v>
      </c>
      <c r="B301" s="9" t="s">
        <v>449</v>
      </c>
    </row>
    <row r="302" spans="1:2">
      <c r="A302" s="11">
        <v>2754</v>
      </c>
      <c r="B302" s="9" t="s">
        <v>450</v>
      </c>
    </row>
    <row r="303" spans="1:2">
      <c r="A303" s="13">
        <v>2755</v>
      </c>
      <c r="B303" s="9" t="s">
        <v>452</v>
      </c>
    </row>
    <row r="304" spans="1:2">
      <c r="A304" s="11">
        <v>2756</v>
      </c>
      <c r="B304" s="9" t="s">
        <v>453</v>
      </c>
    </row>
    <row r="305" spans="1:2">
      <c r="A305" s="11">
        <v>2757</v>
      </c>
      <c r="B305" s="9" t="s">
        <v>463</v>
      </c>
    </row>
    <row r="306" spans="1:2">
      <c r="A306" s="13">
        <v>2758</v>
      </c>
      <c r="B306" s="9" t="s">
        <v>476</v>
      </c>
    </row>
    <row r="307" spans="1:2">
      <c r="A307" s="11">
        <v>2759</v>
      </c>
      <c r="B307" s="9" t="s">
        <v>478</v>
      </c>
    </row>
    <row r="308" spans="1:2">
      <c r="A308" s="11">
        <v>2760</v>
      </c>
      <c r="B308" s="9" t="s">
        <v>479</v>
      </c>
    </row>
    <row r="309" spans="1:2">
      <c r="A309" s="13">
        <v>2761</v>
      </c>
      <c r="B309" s="9" t="s">
        <v>483</v>
      </c>
    </row>
    <row r="310" spans="1:2">
      <c r="A310" s="11">
        <v>2762</v>
      </c>
      <c r="B310" s="9" t="s">
        <v>484</v>
      </c>
    </row>
    <row r="311" spans="1:2">
      <c r="A311" s="12">
        <v>2763</v>
      </c>
      <c r="B311" s="9" t="s">
        <v>490</v>
      </c>
    </row>
    <row r="312" spans="1:2">
      <c r="A312" s="11">
        <v>2764</v>
      </c>
      <c r="B312" s="9" t="s">
        <v>495</v>
      </c>
    </row>
    <row r="313" spans="1:2">
      <c r="A313" s="12">
        <v>2765</v>
      </c>
      <c r="B313" s="9" t="s">
        <v>505</v>
      </c>
    </row>
    <row r="314" spans="1:2">
      <c r="A314" s="11">
        <v>2766</v>
      </c>
      <c r="B314" s="9" t="s">
        <v>516</v>
      </c>
    </row>
    <row r="315" spans="1:2">
      <c r="A315" s="12">
        <v>2767</v>
      </c>
      <c r="B315" s="9" t="s">
        <v>524</v>
      </c>
    </row>
    <row r="316" spans="1:2">
      <c r="A316" s="12">
        <v>2768</v>
      </c>
      <c r="B316" s="9" t="s">
        <v>525</v>
      </c>
    </row>
    <row r="317" spans="1:2">
      <c r="A317" s="11">
        <v>2769</v>
      </c>
      <c r="B317" s="9" t="s">
        <v>531</v>
      </c>
    </row>
    <row r="318" spans="1:2">
      <c r="A318" s="11">
        <v>2770</v>
      </c>
      <c r="B318" s="9" t="s">
        <v>540</v>
      </c>
    </row>
    <row r="319" spans="1:2">
      <c r="A319" s="13">
        <v>2771</v>
      </c>
      <c r="B319" s="9" t="s">
        <v>551</v>
      </c>
    </row>
    <row r="320" spans="1:2">
      <c r="A320" s="17">
        <v>5000</v>
      </c>
      <c r="B320" s="18" t="s">
        <v>1070</v>
      </c>
    </row>
  </sheetData>
  <autoFilter ref="A1:C320" xr:uid="{00000000-0009-0000-0000-000003000000}"/>
  <sortState xmlns:xlrd2="http://schemas.microsoft.com/office/spreadsheetml/2017/richdata2" ref="A2:C319">
    <sortCondition ref="A2:A319"/>
  </sortState>
  <hyperlinks>
    <hyperlink ref="H2" r:id="rId1" xr:uid="{00000000-0004-0000-0300-000000000000}"/>
    <hyperlink ref="H3" r:id="rId2" xr:uid="{00000000-0004-0000-0300-000001000000}"/>
    <hyperlink ref="H4" r:id="rId3" xr:uid="{00000000-0004-0000-0300-000002000000}"/>
    <hyperlink ref="H5" r:id="rId4" xr:uid="{00000000-0004-0000-0300-000003000000}"/>
    <hyperlink ref="H6" r:id="rId5" xr:uid="{00000000-0004-0000-0300-000004000000}"/>
    <hyperlink ref="H7" r:id="rId6" xr:uid="{00000000-0004-0000-0300-000005000000}"/>
    <hyperlink ref="H8" r:id="rId7" xr:uid="{00000000-0004-0000-0300-000006000000}"/>
    <hyperlink ref="H9" r:id="rId8" xr:uid="{00000000-0004-0000-0300-000007000000}"/>
    <hyperlink ref="H10" r:id="rId9" xr:uid="{00000000-0004-0000-0300-000008000000}"/>
    <hyperlink ref="H11" r:id="rId10" xr:uid="{00000000-0004-0000-0300-000009000000}"/>
    <hyperlink ref="H12" r:id="rId11" xr:uid="{00000000-0004-0000-0300-00000A000000}"/>
    <hyperlink ref="H13" r:id="rId12" xr:uid="{00000000-0004-0000-0300-00000B000000}"/>
    <hyperlink ref="H14" r:id="rId13" xr:uid="{00000000-0004-0000-0300-00000C000000}"/>
    <hyperlink ref="H15" r:id="rId14" xr:uid="{00000000-0004-0000-0300-00000D000000}"/>
    <hyperlink ref="H16" r:id="rId15" xr:uid="{00000000-0004-0000-0300-00000E000000}"/>
    <hyperlink ref="H17" r:id="rId16" xr:uid="{00000000-0004-0000-0300-00000F000000}"/>
    <hyperlink ref="H18" r:id="rId17" xr:uid="{00000000-0004-0000-0300-000010000000}"/>
    <hyperlink ref="H19" r:id="rId18" xr:uid="{00000000-0004-0000-0300-000011000000}"/>
    <hyperlink ref="H20" r:id="rId19" xr:uid="{00000000-0004-0000-0300-000012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D544"/>
  <sheetViews>
    <sheetView workbookViewId="0">
      <pane ySplit="1" topLeftCell="A2" activePane="bottomLeft" state="frozen"/>
      <selection pane="bottomLeft" activeCell="B1" sqref="B1"/>
    </sheetView>
  </sheetViews>
  <sheetFormatPr baseColWidth="10" defaultColWidth="11" defaultRowHeight="15"/>
  <cols>
    <col min="1" max="1" width="11" style="59"/>
    <col min="2" max="2" width="56.85546875" bestFit="1" customWidth="1"/>
    <col min="3" max="3" width="9" style="86" customWidth="1"/>
  </cols>
  <sheetData>
    <row r="1" spans="1:4">
      <c r="A1" s="61" t="s">
        <v>1080</v>
      </c>
      <c r="B1" s="68" t="s">
        <v>1081</v>
      </c>
      <c r="C1" s="109" t="s">
        <v>1622</v>
      </c>
      <c r="D1" s="68" t="s">
        <v>1445</v>
      </c>
    </row>
    <row r="2" spans="1:4">
      <c r="A2" s="70">
        <v>2411</v>
      </c>
      <c r="B2" s="70" t="s">
        <v>1109</v>
      </c>
      <c r="C2" s="87" t="s">
        <v>11</v>
      </c>
      <c r="D2" s="72" t="s">
        <v>11</v>
      </c>
    </row>
    <row r="3" spans="1:4">
      <c r="A3" s="70">
        <v>2303</v>
      </c>
      <c r="B3" s="70" t="s">
        <v>1110</v>
      </c>
      <c r="C3" s="87" t="s">
        <v>11</v>
      </c>
      <c r="D3" s="72" t="s">
        <v>11</v>
      </c>
    </row>
    <row r="4" spans="1:4">
      <c r="A4" s="70">
        <v>269</v>
      </c>
      <c r="B4" s="70" t="s">
        <v>1111</v>
      </c>
      <c r="C4" s="87" t="s">
        <v>11</v>
      </c>
      <c r="D4" s="72" t="s">
        <v>20</v>
      </c>
    </row>
    <row r="5" spans="1:4">
      <c r="A5" s="71">
        <v>3045</v>
      </c>
      <c r="B5" s="70" t="s">
        <v>1505</v>
      </c>
      <c r="C5" s="87" t="s">
        <v>11</v>
      </c>
      <c r="D5" s="72" t="s">
        <v>11</v>
      </c>
    </row>
    <row r="6" spans="1:4">
      <c r="A6" s="70">
        <v>2940</v>
      </c>
      <c r="B6" s="70" t="s">
        <v>1478</v>
      </c>
      <c r="C6" s="87" t="s">
        <v>11</v>
      </c>
      <c r="D6" s="72" t="s">
        <v>11</v>
      </c>
    </row>
    <row r="7" spans="1:4">
      <c r="A7" s="70">
        <v>2773</v>
      </c>
      <c r="B7" s="70" t="s">
        <v>1112</v>
      </c>
      <c r="C7" s="87" t="s">
        <v>11</v>
      </c>
      <c r="D7" s="72" t="s">
        <v>20</v>
      </c>
    </row>
    <row r="8" spans="1:4">
      <c r="A8" s="70">
        <v>2377</v>
      </c>
      <c r="B8" s="70" t="s">
        <v>1663</v>
      </c>
      <c r="C8" s="87" t="s">
        <v>11</v>
      </c>
      <c r="D8" s="72" t="s">
        <v>11</v>
      </c>
    </row>
    <row r="9" spans="1:4">
      <c r="A9" s="70">
        <v>1030</v>
      </c>
      <c r="B9" s="70" t="s">
        <v>1088</v>
      </c>
      <c r="C9" s="87" t="s">
        <v>11</v>
      </c>
      <c r="D9" s="72" t="s">
        <v>11</v>
      </c>
    </row>
    <row r="10" spans="1:4">
      <c r="A10" s="70">
        <v>2369</v>
      </c>
      <c r="B10" s="70" t="s">
        <v>1113</v>
      </c>
      <c r="C10" s="87" t="s">
        <v>11</v>
      </c>
      <c r="D10" s="72" t="s">
        <v>11</v>
      </c>
    </row>
    <row r="11" spans="1:4">
      <c r="A11" s="70">
        <v>2505</v>
      </c>
      <c r="B11" s="70" t="s">
        <v>1114</v>
      </c>
      <c r="C11" s="87" t="s">
        <v>11</v>
      </c>
      <c r="D11" s="72" t="s">
        <v>11</v>
      </c>
    </row>
    <row r="12" spans="1:4">
      <c r="A12" s="70">
        <v>2419</v>
      </c>
      <c r="B12" s="70" t="s">
        <v>1115</v>
      </c>
      <c r="C12" s="87" t="s">
        <v>11</v>
      </c>
      <c r="D12" s="72" t="s">
        <v>11</v>
      </c>
    </row>
    <row r="13" spans="1:4">
      <c r="A13" s="71">
        <v>3047</v>
      </c>
      <c r="B13" s="70" t="s">
        <v>1507</v>
      </c>
      <c r="C13" s="87" t="s">
        <v>11</v>
      </c>
      <c r="D13" s="72" t="s">
        <v>11</v>
      </c>
    </row>
    <row r="14" spans="1:4">
      <c r="A14" s="71">
        <v>3070</v>
      </c>
      <c r="B14" s="70" t="s">
        <v>1530</v>
      </c>
      <c r="C14" s="87" t="s">
        <v>11</v>
      </c>
      <c r="D14" s="72" t="s">
        <v>11</v>
      </c>
    </row>
    <row r="15" spans="1:4">
      <c r="A15" s="70">
        <v>2866</v>
      </c>
      <c r="B15" s="70" t="s">
        <v>1098</v>
      </c>
      <c r="C15" s="87" t="s">
        <v>11</v>
      </c>
      <c r="D15" s="72" t="s">
        <v>11</v>
      </c>
    </row>
    <row r="16" spans="1:4">
      <c r="A16" s="70">
        <v>2464</v>
      </c>
      <c r="B16" s="70" t="s">
        <v>1116</v>
      </c>
      <c r="C16" s="87" t="s">
        <v>11</v>
      </c>
      <c r="D16" s="72" t="s">
        <v>11</v>
      </c>
    </row>
    <row r="17" spans="1:4">
      <c r="A17" s="71">
        <v>3142</v>
      </c>
      <c r="B17" s="70" t="s">
        <v>1597</v>
      </c>
      <c r="C17" s="87" t="s">
        <v>11</v>
      </c>
      <c r="D17" s="72" t="s">
        <v>11</v>
      </c>
    </row>
    <row r="18" spans="1:4">
      <c r="A18" s="70">
        <v>2894</v>
      </c>
      <c r="B18" s="70" t="s">
        <v>1117</v>
      </c>
      <c r="C18" s="87" t="s">
        <v>11</v>
      </c>
      <c r="D18" s="72" t="s">
        <v>11</v>
      </c>
    </row>
    <row r="19" spans="1:4">
      <c r="A19" s="70">
        <v>2809</v>
      </c>
      <c r="B19" s="70" t="s">
        <v>1118</v>
      </c>
      <c r="C19" s="87" t="s">
        <v>11</v>
      </c>
      <c r="D19" s="72" t="s">
        <v>11</v>
      </c>
    </row>
    <row r="20" spans="1:4">
      <c r="A20" s="71">
        <v>3146</v>
      </c>
      <c r="B20" s="70" t="s">
        <v>1604</v>
      </c>
      <c r="C20" s="87" t="s">
        <v>11</v>
      </c>
      <c r="D20" s="72" t="s">
        <v>11</v>
      </c>
    </row>
    <row r="21" spans="1:4">
      <c r="A21" s="95">
        <v>3150</v>
      </c>
      <c r="B21" s="56" t="s">
        <v>1631</v>
      </c>
      <c r="C21" s="87" t="s">
        <v>11</v>
      </c>
      <c r="D21" s="72" t="s">
        <v>11</v>
      </c>
    </row>
    <row r="22" spans="1:4">
      <c r="A22" s="70">
        <v>1853</v>
      </c>
      <c r="B22" s="70" t="s">
        <v>1452</v>
      </c>
      <c r="C22" s="87" t="s">
        <v>11</v>
      </c>
      <c r="D22" s="72" t="s">
        <v>11</v>
      </c>
    </row>
    <row r="23" spans="1:4">
      <c r="A23" s="71">
        <v>3085</v>
      </c>
      <c r="B23" s="70" t="s">
        <v>1545</v>
      </c>
      <c r="C23" s="87" t="s">
        <v>11</v>
      </c>
      <c r="D23" s="72" t="s">
        <v>11</v>
      </c>
    </row>
    <row r="24" spans="1:4">
      <c r="A24" s="70">
        <v>2951</v>
      </c>
      <c r="B24" s="70" t="s">
        <v>1104</v>
      </c>
      <c r="C24" s="87" t="s">
        <v>11</v>
      </c>
      <c r="D24" s="72" t="s">
        <v>11</v>
      </c>
    </row>
    <row r="25" spans="1:4">
      <c r="A25" s="71">
        <v>2827</v>
      </c>
      <c r="B25" s="70" t="s">
        <v>1476</v>
      </c>
      <c r="C25" s="87" t="s">
        <v>11</v>
      </c>
      <c r="D25" s="72" t="s">
        <v>11</v>
      </c>
    </row>
    <row r="26" spans="1:4">
      <c r="A26" s="71">
        <v>3052</v>
      </c>
      <c r="B26" s="70" t="s">
        <v>1512</v>
      </c>
      <c r="C26" s="87" t="s">
        <v>11</v>
      </c>
      <c r="D26" s="72" t="s">
        <v>11</v>
      </c>
    </row>
    <row r="27" spans="1:4">
      <c r="A27" s="63">
        <v>3052</v>
      </c>
      <c r="B27" s="97" t="s">
        <v>1714</v>
      </c>
      <c r="C27" s="62" t="s">
        <v>11</v>
      </c>
      <c r="D27" s="62" t="s">
        <v>11</v>
      </c>
    </row>
    <row r="28" spans="1:4">
      <c r="A28" s="55">
        <v>3017</v>
      </c>
      <c r="B28" s="97" t="s">
        <v>1692</v>
      </c>
      <c r="C28" s="62" t="s">
        <v>11</v>
      </c>
      <c r="D28" s="72" t="s">
        <v>11</v>
      </c>
    </row>
    <row r="29" spans="1:4">
      <c r="A29" s="71">
        <v>3109</v>
      </c>
      <c r="B29" s="70" t="s">
        <v>1569</v>
      </c>
      <c r="C29" s="87" t="s">
        <v>11</v>
      </c>
      <c r="D29" s="72" t="s">
        <v>11</v>
      </c>
    </row>
    <row r="30" spans="1:4">
      <c r="A30" s="71">
        <v>3022</v>
      </c>
      <c r="B30" s="70" t="s">
        <v>1599</v>
      </c>
      <c r="C30" s="87" t="s">
        <v>11</v>
      </c>
      <c r="D30" s="72" t="s">
        <v>11</v>
      </c>
    </row>
    <row r="31" spans="1:4">
      <c r="A31" s="70">
        <v>3033</v>
      </c>
      <c r="B31" s="70" t="s">
        <v>1495</v>
      </c>
      <c r="C31" s="87" t="s">
        <v>11</v>
      </c>
      <c r="D31" s="72" t="s">
        <v>11</v>
      </c>
    </row>
    <row r="32" spans="1:4">
      <c r="A32" s="70">
        <v>2672</v>
      </c>
      <c r="B32" s="70" t="s">
        <v>1119</v>
      </c>
      <c r="C32" s="87" t="s">
        <v>11</v>
      </c>
      <c r="D32" s="72" t="s">
        <v>11</v>
      </c>
    </row>
    <row r="33" spans="1:4">
      <c r="A33" s="70">
        <v>2434</v>
      </c>
      <c r="B33" s="70" t="s">
        <v>1120</v>
      </c>
      <c r="C33" s="87" t="s">
        <v>11</v>
      </c>
      <c r="D33" s="72" t="s">
        <v>11</v>
      </c>
    </row>
    <row r="34" spans="1:4">
      <c r="A34" s="70">
        <v>2762</v>
      </c>
      <c r="B34" s="70" t="s">
        <v>1121</v>
      </c>
      <c r="C34" s="87" t="s">
        <v>11</v>
      </c>
      <c r="D34" s="72" t="s">
        <v>11</v>
      </c>
    </row>
    <row r="35" spans="1:4">
      <c r="A35" s="70">
        <v>1897</v>
      </c>
      <c r="B35" s="70" t="s">
        <v>1122</v>
      </c>
      <c r="C35" s="87" t="s">
        <v>11</v>
      </c>
      <c r="D35" s="72" t="s">
        <v>11</v>
      </c>
    </row>
    <row r="36" spans="1:4">
      <c r="A36" s="70">
        <v>2435</v>
      </c>
      <c r="B36" s="70" t="s">
        <v>1123</v>
      </c>
      <c r="C36" s="87" t="s">
        <v>11</v>
      </c>
      <c r="D36" s="72" t="s">
        <v>11</v>
      </c>
    </row>
    <row r="37" spans="1:4">
      <c r="A37" s="70">
        <v>2675</v>
      </c>
      <c r="B37" s="70" t="s">
        <v>1124</v>
      </c>
      <c r="C37" s="87" t="s">
        <v>11</v>
      </c>
      <c r="D37" s="72" t="s">
        <v>11</v>
      </c>
    </row>
    <row r="38" spans="1:4">
      <c r="A38" s="70">
        <v>1991</v>
      </c>
      <c r="B38" s="70" t="s">
        <v>1125</v>
      </c>
      <c r="C38" s="87" t="s">
        <v>11</v>
      </c>
      <c r="D38" s="72" t="s">
        <v>11</v>
      </c>
    </row>
    <row r="39" spans="1:4">
      <c r="A39" s="71">
        <v>3124</v>
      </c>
      <c r="B39" s="70" t="s">
        <v>1584</v>
      </c>
      <c r="C39" s="87" t="s">
        <v>11</v>
      </c>
      <c r="D39" s="72" t="s">
        <v>11</v>
      </c>
    </row>
    <row r="40" spans="1:4">
      <c r="A40" s="70">
        <v>2535</v>
      </c>
      <c r="B40" s="70" t="s">
        <v>1126</v>
      </c>
      <c r="C40" s="87" t="s">
        <v>11</v>
      </c>
      <c r="D40" s="72" t="s">
        <v>11</v>
      </c>
    </row>
    <row r="41" spans="1:4">
      <c r="A41" s="70">
        <v>575</v>
      </c>
      <c r="B41" s="70" t="s">
        <v>1127</v>
      </c>
      <c r="C41" s="87" t="s">
        <v>11</v>
      </c>
      <c r="D41" s="72" t="s">
        <v>20</v>
      </c>
    </row>
    <row r="42" spans="1:4">
      <c r="A42" s="70">
        <v>2912</v>
      </c>
      <c r="B42" s="70" t="s">
        <v>1128</v>
      </c>
      <c r="C42" s="87" t="s">
        <v>11</v>
      </c>
      <c r="D42" s="72" t="s">
        <v>11</v>
      </c>
    </row>
    <row r="43" spans="1:4">
      <c r="A43" s="70">
        <v>2109</v>
      </c>
      <c r="B43" s="70" t="s">
        <v>1129</v>
      </c>
      <c r="C43" s="87" t="s">
        <v>11</v>
      </c>
      <c r="D43" s="72" t="s">
        <v>20</v>
      </c>
    </row>
    <row r="44" spans="1:4">
      <c r="A44" s="63">
        <v>2913</v>
      </c>
      <c r="B44" s="97" t="s">
        <v>1661</v>
      </c>
      <c r="C44" s="110" t="s">
        <v>11</v>
      </c>
      <c r="D44" s="72" t="s">
        <v>11</v>
      </c>
    </row>
    <row r="45" spans="1:4">
      <c r="A45" s="71">
        <v>3059</v>
      </c>
      <c r="B45" s="70" t="s">
        <v>1519</v>
      </c>
      <c r="C45" s="87" t="s">
        <v>11</v>
      </c>
      <c r="D45" s="72" t="s">
        <v>11</v>
      </c>
    </row>
    <row r="46" spans="1:4">
      <c r="A46" s="70">
        <v>2318</v>
      </c>
      <c r="B46" s="70" t="s">
        <v>1130</v>
      </c>
      <c r="C46" s="87" t="s">
        <v>11</v>
      </c>
      <c r="D46" s="72" t="s">
        <v>11</v>
      </c>
    </row>
    <row r="47" spans="1:4">
      <c r="A47" s="70">
        <v>2533</v>
      </c>
      <c r="B47" s="70" t="s">
        <v>1131</v>
      </c>
      <c r="C47" s="87" t="s">
        <v>11</v>
      </c>
      <c r="D47" s="72" t="s">
        <v>11</v>
      </c>
    </row>
    <row r="48" spans="1:4">
      <c r="A48" s="70">
        <v>2426</v>
      </c>
      <c r="B48" s="70" t="s">
        <v>1132</v>
      </c>
      <c r="C48" s="87" t="s">
        <v>11</v>
      </c>
      <c r="D48" s="72" t="s">
        <v>11</v>
      </c>
    </row>
    <row r="49" spans="1:4">
      <c r="A49" s="70">
        <v>2108</v>
      </c>
      <c r="B49" s="70" t="s">
        <v>1133</v>
      </c>
      <c r="C49" s="87" t="s">
        <v>11</v>
      </c>
      <c r="D49" s="72" t="s">
        <v>20</v>
      </c>
    </row>
    <row r="50" spans="1:4">
      <c r="A50" s="71">
        <v>3050</v>
      </c>
      <c r="B50" s="70" t="s">
        <v>1510</v>
      </c>
      <c r="C50" s="87" t="s">
        <v>11</v>
      </c>
      <c r="D50" s="72" t="s">
        <v>11</v>
      </c>
    </row>
    <row r="51" spans="1:4">
      <c r="A51" s="71">
        <v>3038</v>
      </c>
      <c r="B51" s="70" t="s">
        <v>1498</v>
      </c>
      <c r="C51" s="87" t="s">
        <v>11</v>
      </c>
      <c r="D51" s="72" t="s">
        <v>20</v>
      </c>
    </row>
    <row r="52" spans="1:4">
      <c r="A52" s="95">
        <v>3147</v>
      </c>
      <c r="B52" s="56" t="s">
        <v>1624</v>
      </c>
      <c r="C52" s="87" t="s">
        <v>11</v>
      </c>
      <c r="D52" s="72" t="s">
        <v>11</v>
      </c>
    </row>
    <row r="53" spans="1:4">
      <c r="A53" s="71">
        <v>2436</v>
      </c>
      <c r="B53" s="70" t="s">
        <v>1462</v>
      </c>
      <c r="C53" s="87" t="s">
        <v>11</v>
      </c>
      <c r="D53" s="72" t="s">
        <v>11</v>
      </c>
    </row>
    <row r="54" spans="1:4">
      <c r="A54" s="70">
        <v>2577</v>
      </c>
      <c r="B54" s="70" t="s">
        <v>1464</v>
      </c>
      <c r="C54" s="87" t="s">
        <v>11</v>
      </c>
      <c r="D54" s="72" t="s">
        <v>11</v>
      </c>
    </row>
    <row r="55" spans="1:4">
      <c r="A55" s="70">
        <v>2838</v>
      </c>
      <c r="B55" s="70" t="s">
        <v>1134</v>
      </c>
      <c r="C55" s="87" t="s">
        <v>11</v>
      </c>
      <c r="D55" s="72" t="s">
        <v>11</v>
      </c>
    </row>
    <row r="56" spans="1:4">
      <c r="A56" s="70">
        <v>949</v>
      </c>
      <c r="B56" s="70" t="s">
        <v>1135</v>
      </c>
      <c r="C56" s="87" t="s">
        <v>11</v>
      </c>
      <c r="D56" s="72" t="s">
        <v>11</v>
      </c>
    </row>
    <row r="57" spans="1:4">
      <c r="A57" s="70">
        <v>2444</v>
      </c>
      <c r="B57" s="70" t="s">
        <v>1087</v>
      </c>
      <c r="C57" s="87" t="s">
        <v>11</v>
      </c>
      <c r="D57" s="72" t="s">
        <v>11</v>
      </c>
    </row>
    <row r="58" spans="1:4">
      <c r="A58" s="71">
        <v>2711</v>
      </c>
      <c r="B58" s="70" t="s">
        <v>1473</v>
      </c>
      <c r="C58" s="87" t="s">
        <v>11</v>
      </c>
      <c r="D58" s="72" t="s">
        <v>11</v>
      </c>
    </row>
    <row r="59" spans="1:4">
      <c r="A59" s="70">
        <v>2492</v>
      </c>
      <c r="B59" s="70" t="s">
        <v>1136</v>
      </c>
      <c r="C59" s="87" t="s">
        <v>11</v>
      </c>
      <c r="D59" s="72" t="s">
        <v>11</v>
      </c>
    </row>
    <row r="60" spans="1:4">
      <c r="A60" s="70">
        <v>2407</v>
      </c>
      <c r="B60" s="70" t="s">
        <v>1137</v>
      </c>
      <c r="C60" s="87" t="s">
        <v>11</v>
      </c>
      <c r="D60" s="72" t="s">
        <v>11</v>
      </c>
    </row>
    <row r="61" spans="1:4">
      <c r="A61" s="71">
        <v>3104</v>
      </c>
      <c r="B61" s="70" t="s">
        <v>1564</v>
      </c>
      <c r="C61" s="87" t="s">
        <v>11</v>
      </c>
      <c r="D61" s="72" t="s">
        <v>11</v>
      </c>
    </row>
    <row r="62" spans="1:4">
      <c r="A62" s="71">
        <v>3144</v>
      </c>
      <c r="B62" s="70" t="s">
        <v>1602</v>
      </c>
      <c r="C62" s="87" t="s">
        <v>11</v>
      </c>
      <c r="D62" s="72" t="s">
        <v>11</v>
      </c>
    </row>
    <row r="63" spans="1:4">
      <c r="A63" s="70">
        <v>2854</v>
      </c>
      <c r="B63" s="70" t="s">
        <v>1138</v>
      </c>
      <c r="C63" s="87" t="s">
        <v>11</v>
      </c>
      <c r="D63" s="72" t="s">
        <v>11</v>
      </c>
    </row>
    <row r="64" spans="1:4">
      <c r="A64" s="71">
        <v>3056</v>
      </c>
      <c r="B64" s="70" t="s">
        <v>1516</v>
      </c>
      <c r="C64" s="87" t="s">
        <v>11</v>
      </c>
      <c r="D64" s="72" t="s">
        <v>11</v>
      </c>
    </row>
    <row r="65" spans="1:4">
      <c r="A65" s="70">
        <v>2820</v>
      </c>
      <c r="B65" s="70" t="s">
        <v>1139</v>
      </c>
      <c r="C65" s="87" t="s">
        <v>11</v>
      </c>
      <c r="D65" s="72" t="s">
        <v>11</v>
      </c>
    </row>
    <row r="66" spans="1:4">
      <c r="A66" s="70">
        <v>2129</v>
      </c>
      <c r="B66" s="70" t="s">
        <v>1140</v>
      </c>
      <c r="C66" s="87" t="s">
        <v>11</v>
      </c>
      <c r="D66" s="72" t="s">
        <v>11</v>
      </c>
    </row>
    <row r="67" spans="1:4">
      <c r="A67" s="70">
        <v>2602</v>
      </c>
      <c r="B67" s="70" t="s">
        <v>1141</v>
      </c>
      <c r="C67" s="87" t="s">
        <v>11</v>
      </c>
      <c r="D67" s="72" t="s">
        <v>11</v>
      </c>
    </row>
    <row r="68" spans="1:4">
      <c r="A68" s="70">
        <v>2884</v>
      </c>
      <c r="B68" s="70" t="s">
        <v>1142</v>
      </c>
      <c r="C68" s="87" t="s">
        <v>11</v>
      </c>
      <c r="D68" s="72" t="s">
        <v>11</v>
      </c>
    </row>
    <row r="69" spans="1:4">
      <c r="A69" s="70">
        <v>2669</v>
      </c>
      <c r="B69" s="70" t="s">
        <v>1143</v>
      </c>
      <c r="C69" s="87" t="s">
        <v>11</v>
      </c>
      <c r="D69" s="72" t="s">
        <v>11</v>
      </c>
    </row>
    <row r="70" spans="1:4">
      <c r="A70" s="70">
        <v>2988</v>
      </c>
      <c r="B70" s="70" t="s">
        <v>1144</v>
      </c>
      <c r="C70" s="87" t="s">
        <v>11</v>
      </c>
      <c r="D70" s="72" t="s">
        <v>11</v>
      </c>
    </row>
    <row r="71" spans="1:4">
      <c r="A71" s="70">
        <v>2410</v>
      </c>
      <c r="B71" s="70" t="s">
        <v>1145</v>
      </c>
      <c r="C71" s="87" t="s">
        <v>11</v>
      </c>
      <c r="D71" s="72" t="s">
        <v>11</v>
      </c>
    </row>
    <row r="72" spans="1:4">
      <c r="A72" s="70">
        <v>2750</v>
      </c>
      <c r="B72" s="70" t="s">
        <v>1146</v>
      </c>
      <c r="C72" s="87" t="s">
        <v>11</v>
      </c>
      <c r="D72" s="72" t="s">
        <v>20</v>
      </c>
    </row>
    <row r="73" spans="1:4">
      <c r="A73" s="70">
        <v>1823</v>
      </c>
      <c r="B73" s="70" t="s">
        <v>1147</v>
      </c>
      <c r="C73" s="87" t="s">
        <v>11</v>
      </c>
      <c r="D73" s="72" t="s">
        <v>11</v>
      </c>
    </row>
    <row r="74" spans="1:4">
      <c r="A74" s="70">
        <v>1945</v>
      </c>
      <c r="B74" s="70" t="s">
        <v>1148</v>
      </c>
      <c r="C74" s="87" t="s">
        <v>11</v>
      </c>
      <c r="D74" s="72" t="s">
        <v>11</v>
      </c>
    </row>
    <row r="75" spans="1:4">
      <c r="A75" s="71">
        <v>3055</v>
      </c>
      <c r="B75" s="70" t="s">
        <v>1515</v>
      </c>
      <c r="C75" s="87" t="s">
        <v>11</v>
      </c>
      <c r="D75" s="72" t="s">
        <v>11</v>
      </c>
    </row>
    <row r="76" spans="1:4">
      <c r="A76" s="70">
        <v>1583</v>
      </c>
      <c r="B76" s="70" t="s">
        <v>1149</v>
      </c>
      <c r="C76" s="87" t="s">
        <v>11</v>
      </c>
      <c r="D76" s="72" t="s">
        <v>11</v>
      </c>
    </row>
    <row r="77" spans="1:4">
      <c r="A77" s="70">
        <v>2962</v>
      </c>
      <c r="B77" s="70" t="s">
        <v>1150</v>
      </c>
      <c r="C77" s="87" t="s">
        <v>11</v>
      </c>
      <c r="D77" s="72" t="s">
        <v>11</v>
      </c>
    </row>
    <row r="78" spans="1:4">
      <c r="A78" s="70">
        <v>2700</v>
      </c>
      <c r="B78" s="70" t="s">
        <v>1472</v>
      </c>
      <c r="C78" s="87" t="s">
        <v>11</v>
      </c>
      <c r="D78" s="72" t="s">
        <v>11</v>
      </c>
    </row>
    <row r="79" spans="1:4">
      <c r="A79" s="70">
        <v>2663</v>
      </c>
      <c r="B79" s="70" t="s">
        <v>1468</v>
      </c>
      <c r="C79" s="87" t="s">
        <v>11</v>
      </c>
      <c r="D79" s="72" t="s">
        <v>11</v>
      </c>
    </row>
    <row r="80" spans="1:4">
      <c r="A80" s="70">
        <v>2481</v>
      </c>
      <c r="B80" s="70" t="s">
        <v>1151</v>
      </c>
      <c r="C80" s="87" t="s">
        <v>11</v>
      </c>
      <c r="D80" s="72" t="s">
        <v>11</v>
      </c>
    </row>
    <row r="81" spans="1:4">
      <c r="A81" s="70">
        <v>1178</v>
      </c>
      <c r="B81" s="70" t="s">
        <v>1152</v>
      </c>
      <c r="C81" s="87" t="s">
        <v>11</v>
      </c>
      <c r="D81" s="72" t="s">
        <v>11</v>
      </c>
    </row>
    <row r="82" spans="1:4">
      <c r="A82" s="70">
        <v>2689</v>
      </c>
      <c r="B82" s="70" t="s">
        <v>1153</v>
      </c>
      <c r="C82" s="87" t="s">
        <v>11</v>
      </c>
      <c r="D82" s="72" t="s">
        <v>11</v>
      </c>
    </row>
    <row r="83" spans="1:4">
      <c r="A83" s="71">
        <v>3062</v>
      </c>
      <c r="B83" s="70" t="s">
        <v>1522</v>
      </c>
      <c r="C83" s="87" t="s">
        <v>11</v>
      </c>
      <c r="D83" s="72" t="s">
        <v>11</v>
      </c>
    </row>
    <row r="84" spans="1:4">
      <c r="A84" s="70">
        <v>2740</v>
      </c>
      <c r="B84" s="70" t="s">
        <v>1095</v>
      </c>
      <c r="C84" s="87" t="s">
        <v>11</v>
      </c>
      <c r="D84" s="72" t="s">
        <v>11</v>
      </c>
    </row>
    <row r="85" spans="1:4">
      <c r="A85" s="70">
        <v>2581</v>
      </c>
      <c r="B85" s="70" t="s">
        <v>1154</v>
      </c>
      <c r="C85" s="87" t="s">
        <v>11</v>
      </c>
      <c r="D85" s="72" t="s">
        <v>11</v>
      </c>
    </row>
    <row r="86" spans="1:4">
      <c r="A86" s="70">
        <v>2448</v>
      </c>
      <c r="B86" s="70" t="s">
        <v>1155</v>
      </c>
      <c r="C86" s="87" t="s">
        <v>11</v>
      </c>
      <c r="D86" s="72" t="s">
        <v>11</v>
      </c>
    </row>
    <row r="87" spans="1:4">
      <c r="A87" s="70">
        <v>2695</v>
      </c>
      <c r="B87" s="70" t="s">
        <v>1156</v>
      </c>
      <c r="C87" s="87" t="s">
        <v>11</v>
      </c>
      <c r="D87" s="72" t="s">
        <v>11</v>
      </c>
    </row>
    <row r="88" spans="1:4">
      <c r="A88" s="71">
        <v>3081</v>
      </c>
      <c r="B88" s="70" t="s">
        <v>1541</v>
      </c>
      <c r="C88" s="87" t="s">
        <v>11</v>
      </c>
      <c r="D88" s="72" t="s">
        <v>11</v>
      </c>
    </row>
    <row r="89" spans="1:4">
      <c r="A89" s="70">
        <v>2870</v>
      </c>
      <c r="B89" s="70" t="s">
        <v>1157</v>
      </c>
      <c r="C89" s="87" t="s">
        <v>11</v>
      </c>
      <c r="D89" s="72" t="s">
        <v>11</v>
      </c>
    </row>
    <row r="90" spans="1:4">
      <c r="A90" s="70">
        <v>2966</v>
      </c>
      <c r="B90" s="70" t="s">
        <v>1158</v>
      </c>
      <c r="C90" s="87" t="s">
        <v>11</v>
      </c>
      <c r="D90" s="72" t="s">
        <v>11</v>
      </c>
    </row>
    <row r="91" spans="1:4">
      <c r="A91" s="70">
        <v>2878</v>
      </c>
      <c r="B91" s="70" t="s">
        <v>1159</v>
      </c>
      <c r="C91" s="87" t="s">
        <v>11</v>
      </c>
      <c r="D91" s="72" t="s">
        <v>11</v>
      </c>
    </row>
    <row r="92" spans="1:4">
      <c r="A92" s="70">
        <v>1928</v>
      </c>
      <c r="B92" s="70" t="s">
        <v>1160</v>
      </c>
      <c r="C92" s="87" t="s">
        <v>11</v>
      </c>
      <c r="D92" s="72" t="s">
        <v>11</v>
      </c>
    </row>
    <row r="93" spans="1:4">
      <c r="A93" s="70">
        <v>1680</v>
      </c>
      <c r="B93" s="70" t="s">
        <v>1093</v>
      </c>
      <c r="C93" s="87" t="s">
        <v>11</v>
      </c>
      <c r="D93" s="72" t="s">
        <v>11</v>
      </c>
    </row>
    <row r="94" spans="1:4">
      <c r="A94" s="70">
        <v>2569</v>
      </c>
      <c r="B94" s="70" t="s">
        <v>1161</v>
      </c>
      <c r="C94" s="87" t="s">
        <v>11</v>
      </c>
      <c r="D94" s="72" t="s">
        <v>11</v>
      </c>
    </row>
    <row r="95" spans="1:4">
      <c r="A95" s="95">
        <v>3149</v>
      </c>
      <c r="B95" s="56" t="s">
        <v>1630</v>
      </c>
      <c r="C95" s="87" t="s">
        <v>11</v>
      </c>
      <c r="D95" s="72" t="s">
        <v>11</v>
      </c>
    </row>
    <row r="96" spans="1:4">
      <c r="A96" s="70">
        <v>2823</v>
      </c>
      <c r="B96" s="70" t="s">
        <v>1092</v>
      </c>
      <c r="C96" s="87" t="s">
        <v>11</v>
      </c>
      <c r="D96" s="72" t="s">
        <v>11</v>
      </c>
    </row>
    <row r="97" spans="1:4">
      <c r="A97" s="70">
        <v>1930</v>
      </c>
      <c r="B97" s="70" t="s">
        <v>1162</v>
      </c>
      <c r="C97" s="87" t="s">
        <v>11</v>
      </c>
      <c r="D97" s="72" t="s">
        <v>11</v>
      </c>
    </row>
    <row r="98" spans="1:4">
      <c r="A98" s="70">
        <v>2771</v>
      </c>
      <c r="B98" s="70" t="s">
        <v>1163</v>
      </c>
      <c r="C98" s="87" t="s">
        <v>11</v>
      </c>
      <c r="D98" s="72" t="s">
        <v>11</v>
      </c>
    </row>
    <row r="99" spans="1:4">
      <c r="A99" s="70">
        <v>2810</v>
      </c>
      <c r="B99" s="70" t="s">
        <v>1164</v>
      </c>
      <c r="C99" s="87" t="s">
        <v>11</v>
      </c>
      <c r="D99" s="72" t="s">
        <v>20</v>
      </c>
    </row>
    <row r="100" spans="1:4">
      <c r="A100" s="70">
        <v>2811</v>
      </c>
      <c r="B100" s="70" t="s">
        <v>1165</v>
      </c>
      <c r="C100" s="87" t="s">
        <v>11</v>
      </c>
      <c r="D100" s="72" t="s">
        <v>11</v>
      </c>
    </row>
    <row r="101" spans="1:4">
      <c r="A101" s="95">
        <v>3159</v>
      </c>
      <c r="B101" s="56" t="s">
        <v>1667</v>
      </c>
      <c r="C101" s="110" t="s">
        <v>11</v>
      </c>
      <c r="D101" s="72" t="s">
        <v>11</v>
      </c>
    </row>
    <row r="102" spans="1:4">
      <c r="A102" s="70">
        <v>2998</v>
      </c>
      <c r="B102" s="70" t="s">
        <v>1480</v>
      </c>
      <c r="C102" s="87" t="s">
        <v>11</v>
      </c>
      <c r="D102" s="72" t="s">
        <v>11</v>
      </c>
    </row>
    <row r="103" spans="1:4">
      <c r="A103" s="70">
        <v>2304</v>
      </c>
      <c r="B103" s="70" t="s">
        <v>1166</v>
      </c>
      <c r="C103" s="87" t="s">
        <v>11</v>
      </c>
      <c r="D103" s="72" t="s">
        <v>11</v>
      </c>
    </row>
    <row r="104" spans="1:4">
      <c r="A104" s="71">
        <v>3042</v>
      </c>
      <c r="B104" s="70" t="s">
        <v>1502</v>
      </c>
      <c r="C104" s="87" t="s">
        <v>11</v>
      </c>
      <c r="D104" s="72" t="s">
        <v>11</v>
      </c>
    </row>
    <row r="105" spans="1:4">
      <c r="A105" s="70">
        <v>2314</v>
      </c>
      <c r="B105" s="70" t="s">
        <v>1167</v>
      </c>
      <c r="C105" s="87" t="s">
        <v>11</v>
      </c>
      <c r="D105" s="72" t="s">
        <v>11</v>
      </c>
    </row>
    <row r="106" spans="1:4">
      <c r="A106" s="71">
        <v>3096</v>
      </c>
      <c r="B106" s="70" t="s">
        <v>1556</v>
      </c>
      <c r="C106" s="87" t="s">
        <v>11</v>
      </c>
      <c r="D106" s="72" t="s">
        <v>11</v>
      </c>
    </row>
    <row r="107" spans="1:4">
      <c r="A107" s="71">
        <v>3073</v>
      </c>
      <c r="B107" s="70" t="s">
        <v>1533</v>
      </c>
      <c r="C107" s="87" t="s">
        <v>11</v>
      </c>
      <c r="D107" s="72" t="s">
        <v>11</v>
      </c>
    </row>
    <row r="108" spans="1:4">
      <c r="A108" s="70">
        <v>2732</v>
      </c>
      <c r="B108" s="70" t="s">
        <v>1168</v>
      </c>
      <c r="C108" s="87" t="s">
        <v>11</v>
      </c>
      <c r="D108" s="72" t="s">
        <v>11</v>
      </c>
    </row>
    <row r="109" spans="1:4">
      <c r="A109" s="70">
        <v>2749</v>
      </c>
      <c r="B109" s="70" t="s">
        <v>1169</v>
      </c>
      <c r="C109" s="87" t="s">
        <v>11</v>
      </c>
      <c r="D109" s="72" t="s">
        <v>11</v>
      </c>
    </row>
    <row r="110" spans="1:4">
      <c r="A110" s="70">
        <v>2776</v>
      </c>
      <c r="B110" s="70" t="s">
        <v>1170</v>
      </c>
      <c r="C110" s="87" t="s">
        <v>11</v>
      </c>
      <c r="D110" s="72" t="s">
        <v>11</v>
      </c>
    </row>
    <row r="111" spans="1:4">
      <c r="A111" s="70">
        <v>2490</v>
      </c>
      <c r="B111" s="70" t="s">
        <v>1171</v>
      </c>
      <c r="C111" s="87" t="s">
        <v>11</v>
      </c>
      <c r="D111" s="72" t="s">
        <v>11</v>
      </c>
    </row>
    <row r="112" spans="1:4">
      <c r="A112" s="70">
        <v>2938</v>
      </c>
      <c r="B112" s="70" t="s">
        <v>1172</v>
      </c>
      <c r="C112" s="87" t="s">
        <v>11</v>
      </c>
      <c r="D112" s="72" t="s">
        <v>11</v>
      </c>
    </row>
    <row r="113" spans="1:4">
      <c r="A113" s="70">
        <v>2745</v>
      </c>
      <c r="B113" s="70" t="s">
        <v>1173</v>
      </c>
      <c r="C113" s="87" t="s">
        <v>11</v>
      </c>
      <c r="D113" s="72" t="s">
        <v>11</v>
      </c>
    </row>
    <row r="114" spans="1:4">
      <c r="A114" s="70">
        <v>2617</v>
      </c>
      <c r="B114" s="70" t="s">
        <v>1174</v>
      </c>
      <c r="C114" s="87" t="s">
        <v>11</v>
      </c>
      <c r="D114" s="72" t="s">
        <v>20</v>
      </c>
    </row>
    <row r="115" spans="1:4">
      <c r="A115" s="70">
        <v>2739</v>
      </c>
      <c r="B115" s="70" t="s">
        <v>1175</v>
      </c>
      <c r="C115" s="87" t="s">
        <v>11</v>
      </c>
      <c r="D115" s="72" t="s">
        <v>11</v>
      </c>
    </row>
    <row r="116" spans="1:4">
      <c r="A116" s="70">
        <v>2588</v>
      </c>
      <c r="B116" s="70" t="s">
        <v>1177</v>
      </c>
      <c r="C116" s="87" t="s">
        <v>11</v>
      </c>
      <c r="D116" s="72" t="s">
        <v>11</v>
      </c>
    </row>
    <row r="117" spans="1:4">
      <c r="A117" s="70">
        <v>2580</v>
      </c>
      <c r="B117" s="70" t="s">
        <v>1176</v>
      </c>
      <c r="C117" s="87" t="s">
        <v>11</v>
      </c>
      <c r="D117" s="72" t="s">
        <v>11</v>
      </c>
    </row>
    <row r="118" spans="1:4">
      <c r="A118" s="71">
        <v>3092</v>
      </c>
      <c r="B118" s="70" t="s">
        <v>1552</v>
      </c>
      <c r="C118" s="87" t="s">
        <v>11</v>
      </c>
      <c r="D118" s="72" t="s">
        <v>11</v>
      </c>
    </row>
    <row r="119" spans="1:4">
      <c r="A119" s="70">
        <v>2821</v>
      </c>
      <c r="B119" s="70" t="s">
        <v>1178</v>
      </c>
      <c r="C119" s="87" t="s">
        <v>11</v>
      </c>
      <c r="D119" s="72" t="s">
        <v>11</v>
      </c>
    </row>
    <row r="120" spans="1:4">
      <c r="A120" s="70">
        <v>2511</v>
      </c>
      <c r="B120" s="70" t="s">
        <v>1179</v>
      </c>
      <c r="C120" s="87" t="s">
        <v>11</v>
      </c>
      <c r="D120" s="72" t="s">
        <v>11</v>
      </c>
    </row>
    <row r="121" spans="1:4">
      <c r="A121" s="70">
        <v>2595</v>
      </c>
      <c r="B121" s="70" t="s">
        <v>1180</v>
      </c>
      <c r="C121" s="87" t="s">
        <v>11</v>
      </c>
      <c r="D121" s="72" t="s">
        <v>11</v>
      </c>
    </row>
    <row r="122" spans="1:4">
      <c r="A122" s="70">
        <v>2523</v>
      </c>
      <c r="B122" s="70" t="s">
        <v>1181</v>
      </c>
      <c r="C122" s="87" t="s">
        <v>11</v>
      </c>
      <c r="D122" s="72" t="s">
        <v>11</v>
      </c>
    </row>
    <row r="123" spans="1:4">
      <c r="A123" s="95">
        <v>3158</v>
      </c>
      <c r="B123" s="56" t="s">
        <v>1666</v>
      </c>
      <c r="C123" s="110" t="s">
        <v>11</v>
      </c>
      <c r="D123" s="72" t="s">
        <v>11</v>
      </c>
    </row>
    <row r="124" spans="1:4">
      <c r="A124" s="70">
        <v>2804</v>
      </c>
      <c r="B124" s="70" t="s">
        <v>1182</v>
      </c>
      <c r="C124" s="87" t="s">
        <v>11</v>
      </c>
      <c r="D124" s="72" t="s">
        <v>11</v>
      </c>
    </row>
    <row r="125" spans="1:4">
      <c r="A125" s="70">
        <v>2619</v>
      </c>
      <c r="B125" s="70" t="s">
        <v>1183</v>
      </c>
      <c r="C125" s="87" t="s">
        <v>11</v>
      </c>
      <c r="D125" s="72" t="s">
        <v>11</v>
      </c>
    </row>
    <row r="126" spans="1:4">
      <c r="A126" s="70">
        <v>2643</v>
      </c>
      <c r="B126" s="70" t="s">
        <v>1184</v>
      </c>
      <c r="C126" s="87" t="s">
        <v>11</v>
      </c>
      <c r="D126" s="72" t="s">
        <v>11</v>
      </c>
    </row>
    <row r="127" spans="1:4">
      <c r="A127" s="70">
        <v>2721</v>
      </c>
      <c r="B127" s="70" t="s">
        <v>1185</v>
      </c>
      <c r="C127" s="87" t="s">
        <v>11</v>
      </c>
      <c r="D127" s="72" t="s">
        <v>11</v>
      </c>
    </row>
    <row r="128" spans="1:4">
      <c r="A128" s="70">
        <v>1744</v>
      </c>
      <c r="B128" s="70" t="s">
        <v>1186</v>
      </c>
      <c r="C128" s="87" t="s">
        <v>11</v>
      </c>
      <c r="D128" s="72" t="s">
        <v>20</v>
      </c>
    </row>
    <row r="129" spans="1:4">
      <c r="A129" s="70">
        <v>2746</v>
      </c>
      <c r="B129" s="70" t="s">
        <v>1187</v>
      </c>
      <c r="C129" s="87" t="s">
        <v>11</v>
      </c>
      <c r="D129" s="72" t="s">
        <v>11</v>
      </c>
    </row>
    <row r="130" spans="1:4">
      <c r="A130" s="70">
        <v>1581</v>
      </c>
      <c r="B130" s="70" t="s">
        <v>1188</v>
      </c>
      <c r="C130" s="87" t="s">
        <v>11</v>
      </c>
      <c r="D130" s="72" t="s">
        <v>11</v>
      </c>
    </row>
    <row r="131" spans="1:4">
      <c r="A131" s="71">
        <v>3068</v>
      </c>
      <c r="B131" s="70" t="s">
        <v>1528</v>
      </c>
      <c r="C131" s="87" t="s">
        <v>11</v>
      </c>
      <c r="D131" s="72" t="s">
        <v>11</v>
      </c>
    </row>
    <row r="132" spans="1:4">
      <c r="A132" s="70">
        <v>2780</v>
      </c>
      <c r="B132" s="70" t="s">
        <v>1189</v>
      </c>
      <c r="C132" s="87" t="s">
        <v>11</v>
      </c>
      <c r="D132" s="72" t="s">
        <v>11</v>
      </c>
    </row>
    <row r="133" spans="1:4">
      <c r="A133" s="70">
        <v>1674</v>
      </c>
      <c r="B133" s="70" t="s">
        <v>1190</v>
      </c>
      <c r="C133" s="87" t="s">
        <v>11</v>
      </c>
      <c r="D133" s="72" t="s">
        <v>11</v>
      </c>
    </row>
    <row r="134" spans="1:4">
      <c r="A134" s="71">
        <v>3049</v>
      </c>
      <c r="B134" s="70" t="s">
        <v>1509</v>
      </c>
      <c r="C134" s="87" t="s">
        <v>11</v>
      </c>
      <c r="D134" s="72" t="s">
        <v>11</v>
      </c>
    </row>
    <row r="135" spans="1:4">
      <c r="A135" s="70">
        <v>2759</v>
      </c>
      <c r="B135" s="70" t="s">
        <v>1191</v>
      </c>
      <c r="C135" s="87" t="s">
        <v>11</v>
      </c>
      <c r="D135" s="72" t="s">
        <v>11</v>
      </c>
    </row>
    <row r="136" spans="1:4">
      <c r="A136" s="70">
        <v>2874</v>
      </c>
      <c r="B136" s="70" t="s">
        <v>1192</v>
      </c>
      <c r="C136" s="87" t="s">
        <v>11</v>
      </c>
      <c r="D136" s="72" t="s">
        <v>11</v>
      </c>
    </row>
    <row r="137" spans="1:4">
      <c r="A137" s="70">
        <v>2911</v>
      </c>
      <c r="B137" s="70" t="s">
        <v>1193</v>
      </c>
      <c r="C137" s="87" t="s">
        <v>11</v>
      </c>
      <c r="D137" s="72" t="s">
        <v>11</v>
      </c>
    </row>
    <row r="138" spans="1:4">
      <c r="A138" s="95">
        <v>2873</v>
      </c>
      <c r="B138" s="70" t="s">
        <v>1711</v>
      </c>
      <c r="C138" s="119" t="s">
        <v>11</v>
      </c>
      <c r="D138" s="62" t="s">
        <v>11</v>
      </c>
    </row>
    <row r="139" spans="1:4">
      <c r="A139" s="71">
        <v>3037</v>
      </c>
      <c r="B139" s="70" t="s">
        <v>1710</v>
      </c>
      <c r="C139" s="87" t="s">
        <v>11</v>
      </c>
      <c r="D139" s="72" t="s">
        <v>11</v>
      </c>
    </row>
    <row r="140" spans="1:4">
      <c r="A140" s="71">
        <v>3093</v>
      </c>
      <c r="B140" s="70" t="s">
        <v>1553</v>
      </c>
      <c r="C140" s="87" t="s">
        <v>11</v>
      </c>
      <c r="D140" s="72" t="s">
        <v>11</v>
      </c>
    </row>
    <row r="141" spans="1:4">
      <c r="A141" s="70">
        <v>2955</v>
      </c>
      <c r="B141" s="70" t="s">
        <v>1194</v>
      </c>
      <c r="C141" s="87" t="s">
        <v>11</v>
      </c>
      <c r="D141" s="72" t="s">
        <v>11</v>
      </c>
    </row>
    <row r="142" spans="1:4">
      <c r="A142" s="70">
        <v>2770</v>
      </c>
      <c r="B142" s="70" t="s">
        <v>1195</v>
      </c>
      <c r="C142" s="87" t="s">
        <v>11</v>
      </c>
      <c r="D142" s="72" t="s">
        <v>20</v>
      </c>
    </row>
    <row r="143" spans="1:4">
      <c r="A143" s="71">
        <v>3131</v>
      </c>
      <c r="B143" s="70" t="s">
        <v>1591</v>
      </c>
      <c r="C143" s="87" t="s">
        <v>11</v>
      </c>
      <c r="D143" s="72" t="s">
        <v>11</v>
      </c>
    </row>
    <row r="144" spans="1:4">
      <c r="A144" s="70">
        <v>1851</v>
      </c>
      <c r="B144" s="70" t="s">
        <v>1196</v>
      </c>
      <c r="C144" s="87" t="s">
        <v>11</v>
      </c>
      <c r="D144" s="72" t="s">
        <v>11</v>
      </c>
    </row>
    <row r="145" spans="1:4">
      <c r="A145" s="70">
        <v>2622</v>
      </c>
      <c r="B145" s="70" t="s">
        <v>1197</v>
      </c>
      <c r="C145" s="87" t="s">
        <v>11</v>
      </c>
      <c r="D145" s="72" t="s">
        <v>11</v>
      </c>
    </row>
    <row r="146" spans="1:4">
      <c r="A146" s="70">
        <v>2719</v>
      </c>
      <c r="B146" s="70" t="s">
        <v>1198</v>
      </c>
      <c r="C146" s="87" t="s">
        <v>11</v>
      </c>
      <c r="D146" s="72" t="s">
        <v>11</v>
      </c>
    </row>
    <row r="147" spans="1:4">
      <c r="A147" s="70">
        <v>2324</v>
      </c>
      <c r="B147" s="70" t="s">
        <v>1199</v>
      </c>
      <c r="C147" s="87" t="s">
        <v>11</v>
      </c>
      <c r="D147" s="72" t="s">
        <v>11</v>
      </c>
    </row>
    <row r="148" spans="1:4">
      <c r="A148" s="70">
        <v>2508</v>
      </c>
      <c r="B148" s="70" t="s">
        <v>1200</v>
      </c>
      <c r="C148" s="87" t="s">
        <v>11</v>
      </c>
      <c r="D148" s="72" t="s">
        <v>11</v>
      </c>
    </row>
    <row r="149" spans="1:4">
      <c r="A149" s="70">
        <v>2909</v>
      </c>
      <c r="B149" s="70" t="s">
        <v>1201</v>
      </c>
      <c r="C149" s="87" t="s">
        <v>11</v>
      </c>
      <c r="D149" s="72" t="s">
        <v>11</v>
      </c>
    </row>
    <row r="150" spans="1:4">
      <c r="A150" s="71">
        <v>3091</v>
      </c>
      <c r="B150" s="70" t="s">
        <v>1551</v>
      </c>
      <c r="C150" s="87" t="s">
        <v>11</v>
      </c>
      <c r="D150" s="72" t="s">
        <v>11</v>
      </c>
    </row>
    <row r="151" spans="1:4">
      <c r="A151" s="70">
        <v>2612</v>
      </c>
      <c r="B151" s="70" t="s">
        <v>1202</v>
      </c>
      <c r="C151" s="87" t="s">
        <v>11</v>
      </c>
      <c r="D151" s="72" t="s">
        <v>11</v>
      </c>
    </row>
    <row r="152" spans="1:4">
      <c r="A152" s="70">
        <v>2956</v>
      </c>
      <c r="B152" s="70" t="s">
        <v>1203</v>
      </c>
      <c r="C152" s="87" t="s">
        <v>11</v>
      </c>
      <c r="D152" s="72" t="s">
        <v>11</v>
      </c>
    </row>
    <row r="153" spans="1:4">
      <c r="A153" s="55">
        <v>2956</v>
      </c>
      <c r="B153" s="70" t="s">
        <v>1203</v>
      </c>
      <c r="C153" s="62" t="s">
        <v>11</v>
      </c>
      <c r="D153" s="72" t="s">
        <v>11</v>
      </c>
    </row>
    <row r="154" spans="1:4">
      <c r="A154" s="70">
        <v>2904</v>
      </c>
      <c r="B154" s="70" t="s">
        <v>1204</v>
      </c>
      <c r="C154" s="87" t="s">
        <v>11</v>
      </c>
      <c r="D154" s="72" t="s">
        <v>11</v>
      </c>
    </row>
    <row r="155" spans="1:4">
      <c r="A155" s="71">
        <v>3136</v>
      </c>
      <c r="B155" s="70" t="s">
        <v>1625</v>
      </c>
      <c r="C155" s="87" t="s">
        <v>11</v>
      </c>
      <c r="D155" s="72" t="s">
        <v>11</v>
      </c>
    </row>
    <row r="156" spans="1:4">
      <c r="A156" s="70">
        <v>2365</v>
      </c>
      <c r="B156" s="70" t="s">
        <v>1205</v>
      </c>
      <c r="C156" s="87" t="s">
        <v>11</v>
      </c>
      <c r="D156" s="72" t="s">
        <v>11</v>
      </c>
    </row>
    <row r="157" spans="1:4">
      <c r="A157" s="71">
        <v>3041</v>
      </c>
      <c r="B157" s="70" t="s">
        <v>1501</v>
      </c>
      <c r="C157" s="87" t="s">
        <v>11</v>
      </c>
      <c r="D157" s="72" t="s">
        <v>11</v>
      </c>
    </row>
    <row r="158" spans="1:4">
      <c r="A158" s="70">
        <v>3020</v>
      </c>
      <c r="B158" s="70" t="s">
        <v>1490</v>
      </c>
      <c r="C158" s="87" t="s">
        <v>11</v>
      </c>
      <c r="D158" s="72" t="s">
        <v>20</v>
      </c>
    </row>
    <row r="159" spans="1:4">
      <c r="A159" s="70">
        <v>2947</v>
      </c>
      <c r="B159" s="70" t="s">
        <v>1207</v>
      </c>
      <c r="C159" s="87" t="s">
        <v>11</v>
      </c>
      <c r="D159" s="72" t="s">
        <v>11</v>
      </c>
    </row>
    <row r="160" spans="1:4">
      <c r="A160" s="70">
        <v>2114</v>
      </c>
      <c r="B160" s="70" t="s">
        <v>1206</v>
      </c>
      <c r="C160" s="87" t="s">
        <v>11</v>
      </c>
      <c r="D160" s="72" t="s">
        <v>20</v>
      </c>
    </row>
    <row r="161" spans="1:4">
      <c r="A161" s="70">
        <v>2414</v>
      </c>
      <c r="B161" s="70" t="s">
        <v>1208</v>
      </c>
      <c r="C161" s="87" t="s">
        <v>11</v>
      </c>
      <c r="D161" s="72" t="s">
        <v>11</v>
      </c>
    </row>
    <row r="162" spans="1:4">
      <c r="A162" s="71">
        <v>3058</v>
      </c>
      <c r="B162" s="70" t="s">
        <v>1518</v>
      </c>
      <c r="C162" s="87" t="s">
        <v>11</v>
      </c>
      <c r="D162" s="72" t="s">
        <v>11</v>
      </c>
    </row>
    <row r="163" spans="1:4">
      <c r="A163" s="70">
        <v>2554</v>
      </c>
      <c r="B163" s="70" t="s">
        <v>1107</v>
      </c>
      <c r="C163" s="87" t="s">
        <v>11</v>
      </c>
      <c r="D163" s="72" t="s">
        <v>11</v>
      </c>
    </row>
    <row r="164" spans="1:4">
      <c r="A164" s="70">
        <v>2353</v>
      </c>
      <c r="B164" s="70" t="s">
        <v>1209</v>
      </c>
      <c r="C164" s="87" t="s">
        <v>11</v>
      </c>
      <c r="D164" s="72" t="s">
        <v>11</v>
      </c>
    </row>
    <row r="165" spans="1:4">
      <c r="A165" s="70">
        <v>2761</v>
      </c>
      <c r="B165" s="70" t="s">
        <v>1210</v>
      </c>
      <c r="C165" s="87" t="s">
        <v>11</v>
      </c>
      <c r="D165" s="72" t="s">
        <v>11</v>
      </c>
    </row>
    <row r="166" spans="1:4">
      <c r="A166" s="71">
        <v>3044</v>
      </c>
      <c r="B166" s="70" t="s">
        <v>1504</v>
      </c>
      <c r="C166" s="87" t="s">
        <v>11</v>
      </c>
      <c r="D166" s="72" t="s">
        <v>11</v>
      </c>
    </row>
    <row r="167" spans="1:4">
      <c r="A167" s="70">
        <v>2897</v>
      </c>
      <c r="B167" s="70" t="s">
        <v>1211</v>
      </c>
      <c r="C167" s="87" t="s">
        <v>11</v>
      </c>
      <c r="D167" s="72" t="s">
        <v>11</v>
      </c>
    </row>
    <row r="168" spans="1:4">
      <c r="A168" s="70">
        <v>2626</v>
      </c>
      <c r="B168" s="70" t="s">
        <v>1212</v>
      </c>
      <c r="C168" s="87" t="s">
        <v>11</v>
      </c>
      <c r="D168" s="72" t="s">
        <v>11</v>
      </c>
    </row>
    <row r="169" spans="1:4">
      <c r="A169" s="70">
        <v>2775</v>
      </c>
      <c r="B169" s="70" t="s">
        <v>1213</v>
      </c>
      <c r="C169" s="87" t="s">
        <v>11</v>
      </c>
      <c r="D169" s="72" t="s">
        <v>11</v>
      </c>
    </row>
    <row r="170" spans="1:4">
      <c r="A170" s="70">
        <v>2730</v>
      </c>
      <c r="B170" s="70" t="s">
        <v>1214</v>
      </c>
      <c r="C170" s="87" t="s">
        <v>11</v>
      </c>
      <c r="D170" s="72" t="s">
        <v>11</v>
      </c>
    </row>
    <row r="171" spans="1:4">
      <c r="A171" s="70">
        <v>2722</v>
      </c>
      <c r="B171" s="70" t="s">
        <v>1215</v>
      </c>
      <c r="C171" s="87" t="s">
        <v>11</v>
      </c>
      <c r="D171" s="72" t="s">
        <v>11</v>
      </c>
    </row>
    <row r="172" spans="1:4">
      <c r="A172" s="71">
        <v>3095</v>
      </c>
      <c r="B172" s="70" t="s">
        <v>1555</v>
      </c>
      <c r="C172" s="87" t="s">
        <v>11</v>
      </c>
      <c r="D172" s="72" t="s">
        <v>11</v>
      </c>
    </row>
    <row r="173" spans="1:4">
      <c r="A173" s="70">
        <v>2587</v>
      </c>
      <c r="B173" s="70" t="s">
        <v>1216</v>
      </c>
      <c r="C173" s="87" t="s">
        <v>11</v>
      </c>
      <c r="D173" s="72" t="s">
        <v>11</v>
      </c>
    </row>
    <row r="174" spans="1:4">
      <c r="A174" s="70">
        <v>2398</v>
      </c>
      <c r="B174" s="70" t="s">
        <v>1217</v>
      </c>
      <c r="C174" s="87" t="s">
        <v>11</v>
      </c>
      <c r="D174" s="72" t="s">
        <v>11</v>
      </c>
    </row>
    <row r="175" spans="1:4">
      <c r="A175" s="95">
        <v>3151</v>
      </c>
      <c r="B175" s="56" t="s">
        <v>1632</v>
      </c>
      <c r="C175" s="87" t="s">
        <v>11</v>
      </c>
      <c r="D175" s="72" t="s">
        <v>11</v>
      </c>
    </row>
    <row r="176" spans="1:4">
      <c r="A176" s="70">
        <v>2661</v>
      </c>
      <c r="B176" s="70" t="s">
        <v>1218</v>
      </c>
      <c r="C176" s="87" t="s">
        <v>11</v>
      </c>
      <c r="D176" s="72" t="s">
        <v>20</v>
      </c>
    </row>
    <row r="177" spans="1:4">
      <c r="A177" s="70">
        <v>1982</v>
      </c>
      <c r="B177" s="70" t="s">
        <v>1219</v>
      </c>
      <c r="C177" s="87" t="s">
        <v>11</v>
      </c>
      <c r="D177" s="72" t="s">
        <v>11</v>
      </c>
    </row>
    <row r="178" spans="1:4">
      <c r="A178" s="70">
        <v>2871</v>
      </c>
      <c r="B178" s="70" t="s">
        <v>1220</v>
      </c>
      <c r="C178" s="87" t="s">
        <v>11</v>
      </c>
      <c r="D178" s="72" t="s">
        <v>11</v>
      </c>
    </row>
    <row r="179" spans="1:4">
      <c r="A179" s="70">
        <v>2163</v>
      </c>
      <c r="B179" s="70" t="s">
        <v>1221</v>
      </c>
      <c r="C179" s="87" t="s">
        <v>11</v>
      </c>
      <c r="D179" s="72" t="s">
        <v>11</v>
      </c>
    </row>
    <row r="180" spans="1:4">
      <c r="A180" s="70">
        <v>2842</v>
      </c>
      <c r="B180" s="70" t="s">
        <v>1222</v>
      </c>
      <c r="C180" s="87" t="s">
        <v>11</v>
      </c>
      <c r="D180" s="72" t="s">
        <v>11</v>
      </c>
    </row>
    <row r="181" spans="1:4">
      <c r="A181" s="70">
        <v>1961</v>
      </c>
      <c r="B181" s="70" t="s">
        <v>1223</v>
      </c>
      <c r="C181" s="87" t="s">
        <v>11</v>
      </c>
      <c r="D181" s="72" t="s">
        <v>11</v>
      </c>
    </row>
    <row r="182" spans="1:4">
      <c r="A182" s="70">
        <v>1907</v>
      </c>
      <c r="B182" s="70" t="s">
        <v>1224</v>
      </c>
      <c r="C182" s="87" t="s">
        <v>11</v>
      </c>
      <c r="D182" s="72" t="s">
        <v>11</v>
      </c>
    </row>
    <row r="183" spans="1:4">
      <c r="A183" s="71">
        <v>3114</v>
      </c>
      <c r="B183" s="70" t="s">
        <v>1574</v>
      </c>
      <c r="C183" s="87" t="s">
        <v>11</v>
      </c>
      <c r="D183" s="72" t="s">
        <v>11</v>
      </c>
    </row>
    <row r="184" spans="1:4">
      <c r="A184" s="70">
        <v>2583</v>
      </c>
      <c r="B184" s="70" t="s">
        <v>1225</v>
      </c>
      <c r="C184" s="87" t="s">
        <v>11</v>
      </c>
      <c r="D184" s="72" t="s">
        <v>11</v>
      </c>
    </row>
    <row r="185" spans="1:4">
      <c r="A185" s="70">
        <v>2537</v>
      </c>
      <c r="B185" s="70" t="s">
        <v>1226</v>
      </c>
      <c r="C185" s="87" t="s">
        <v>11</v>
      </c>
      <c r="D185" s="72" t="s">
        <v>11</v>
      </c>
    </row>
    <row r="186" spans="1:4">
      <c r="A186" s="70">
        <v>2572</v>
      </c>
      <c r="B186" s="70" t="s">
        <v>1227</v>
      </c>
      <c r="C186" s="87" t="s">
        <v>11</v>
      </c>
      <c r="D186" s="72" t="s">
        <v>11</v>
      </c>
    </row>
    <row r="187" spans="1:4">
      <c r="A187" s="70">
        <v>2802</v>
      </c>
      <c r="B187" s="70" t="s">
        <v>1228</v>
      </c>
      <c r="C187" s="87" t="s">
        <v>11</v>
      </c>
      <c r="D187" s="72" t="s">
        <v>11</v>
      </c>
    </row>
    <row r="188" spans="1:4">
      <c r="A188" s="70">
        <v>810</v>
      </c>
      <c r="B188" s="70" t="s">
        <v>1229</v>
      </c>
      <c r="C188" s="87" t="s">
        <v>11</v>
      </c>
      <c r="D188" s="72" t="s">
        <v>11</v>
      </c>
    </row>
    <row r="189" spans="1:4">
      <c r="A189" s="70">
        <v>2476</v>
      </c>
      <c r="B189" s="70" t="s">
        <v>1230</v>
      </c>
      <c r="C189" s="87" t="s">
        <v>11</v>
      </c>
      <c r="D189" s="72" t="s">
        <v>11</v>
      </c>
    </row>
    <row r="190" spans="1:4">
      <c r="A190" s="71">
        <v>3048</v>
      </c>
      <c r="B190" s="70" t="s">
        <v>1508</v>
      </c>
      <c r="C190" s="87" t="s">
        <v>11</v>
      </c>
      <c r="D190" s="72" t="s">
        <v>11</v>
      </c>
    </row>
    <row r="191" spans="1:4">
      <c r="A191" s="71">
        <v>3078</v>
      </c>
      <c r="B191" s="70" t="s">
        <v>1538</v>
      </c>
      <c r="C191" s="87" t="s">
        <v>11</v>
      </c>
      <c r="D191" s="72" t="s">
        <v>11</v>
      </c>
    </row>
    <row r="192" spans="1:4">
      <c r="A192" s="71">
        <v>3080</v>
      </c>
      <c r="B192" s="70" t="s">
        <v>1540</v>
      </c>
      <c r="C192" s="87" t="s">
        <v>11</v>
      </c>
      <c r="D192" s="72" t="s">
        <v>11</v>
      </c>
    </row>
    <row r="193" spans="1:4">
      <c r="A193" s="70">
        <v>2447</v>
      </c>
      <c r="B193" s="70" t="s">
        <v>1231</v>
      </c>
      <c r="C193" s="87" t="s">
        <v>11</v>
      </c>
      <c r="D193" s="72" t="s">
        <v>20</v>
      </c>
    </row>
    <row r="194" spans="1:4">
      <c r="A194" s="70">
        <v>2794</v>
      </c>
      <c r="B194" s="70" t="s">
        <v>1232</v>
      </c>
      <c r="C194" s="87" t="s">
        <v>11</v>
      </c>
      <c r="D194" s="72" t="s">
        <v>11</v>
      </c>
    </row>
    <row r="195" spans="1:4">
      <c r="A195" s="55">
        <v>2537</v>
      </c>
      <c r="B195" s="97" t="s">
        <v>1691</v>
      </c>
      <c r="C195" s="62" t="s">
        <v>11</v>
      </c>
      <c r="D195" s="72" t="s">
        <v>11</v>
      </c>
    </row>
    <row r="196" spans="1:4">
      <c r="A196" s="71">
        <v>3046</v>
      </c>
      <c r="B196" s="70" t="s">
        <v>1506</v>
      </c>
      <c r="C196" s="87" t="s">
        <v>11</v>
      </c>
      <c r="D196" s="72" t="s">
        <v>11</v>
      </c>
    </row>
    <row r="197" spans="1:4">
      <c r="A197" s="71">
        <v>3112</v>
      </c>
      <c r="B197" s="70" t="s">
        <v>1572</v>
      </c>
      <c r="C197" s="87" t="s">
        <v>11</v>
      </c>
      <c r="D197" s="72"/>
    </row>
    <row r="198" spans="1:4">
      <c r="A198" s="70">
        <v>2817</v>
      </c>
      <c r="B198" s="70" t="s">
        <v>1106</v>
      </c>
      <c r="C198" s="87" t="s">
        <v>11</v>
      </c>
      <c r="D198" s="72" t="s">
        <v>11</v>
      </c>
    </row>
    <row r="199" spans="1:4">
      <c r="A199" s="71">
        <v>3130</v>
      </c>
      <c r="B199" s="70" t="s">
        <v>1590</v>
      </c>
      <c r="C199" s="87" t="s">
        <v>11</v>
      </c>
      <c r="D199" s="72" t="s">
        <v>11</v>
      </c>
    </row>
    <row r="200" spans="1:4">
      <c r="A200" s="71">
        <v>3129</v>
      </c>
      <c r="B200" s="70" t="s">
        <v>1589</v>
      </c>
      <c r="C200" s="87" t="s">
        <v>11</v>
      </c>
      <c r="D200" s="72" t="s">
        <v>11</v>
      </c>
    </row>
    <row r="201" spans="1:4">
      <c r="A201" s="70">
        <v>2902</v>
      </c>
      <c r="B201" s="70" t="s">
        <v>1233</v>
      </c>
      <c r="C201" s="87" t="s">
        <v>11</v>
      </c>
      <c r="D201" s="72" t="s">
        <v>11</v>
      </c>
    </row>
    <row r="202" spans="1:4">
      <c r="A202" s="70">
        <v>2850</v>
      </c>
      <c r="B202" s="70" t="s">
        <v>1234</v>
      </c>
      <c r="C202" s="87" t="s">
        <v>11</v>
      </c>
      <c r="D202" s="72" t="s">
        <v>11</v>
      </c>
    </row>
    <row r="203" spans="1:4">
      <c r="A203" s="70">
        <v>2524</v>
      </c>
      <c r="B203" s="70" t="s">
        <v>1235</v>
      </c>
      <c r="C203" s="87" t="s">
        <v>11</v>
      </c>
      <c r="D203" s="72" t="s">
        <v>11</v>
      </c>
    </row>
    <row r="204" spans="1:4">
      <c r="A204" s="70">
        <v>2885</v>
      </c>
      <c r="B204" s="70" t="s">
        <v>1108</v>
      </c>
      <c r="C204" s="87" t="s">
        <v>11</v>
      </c>
      <c r="D204" s="72" t="s">
        <v>11</v>
      </c>
    </row>
    <row r="205" spans="1:4">
      <c r="A205" s="70">
        <v>1920</v>
      </c>
      <c r="B205" s="70" t="s">
        <v>1236</v>
      </c>
      <c r="C205" s="87" t="s">
        <v>11</v>
      </c>
      <c r="D205" s="72" t="s">
        <v>11</v>
      </c>
    </row>
    <row r="206" spans="1:4">
      <c r="A206" s="70">
        <v>2923</v>
      </c>
      <c r="B206" s="70" t="s">
        <v>1237</v>
      </c>
      <c r="C206" s="87" t="s">
        <v>11</v>
      </c>
      <c r="D206" s="72" t="s">
        <v>11</v>
      </c>
    </row>
    <row r="207" spans="1:4">
      <c r="A207" s="71">
        <v>3139</v>
      </c>
      <c r="B207" s="70" t="s">
        <v>1628</v>
      </c>
      <c r="C207" s="87" t="s">
        <v>11</v>
      </c>
      <c r="D207" s="72" t="s">
        <v>11</v>
      </c>
    </row>
    <row r="208" spans="1:4">
      <c r="A208" s="70">
        <v>2584</v>
      </c>
      <c r="B208" s="70" t="s">
        <v>1465</v>
      </c>
      <c r="C208" s="87" t="s">
        <v>11</v>
      </c>
      <c r="D208" s="72" t="s">
        <v>11</v>
      </c>
    </row>
    <row r="209" spans="1:4">
      <c r="A209" s="70">
        <v>2614</v>
      </c>
      <c r="B209" s="70" t="s">
        <v>1238</v>
      </c>
      <c r="C209" s="87" t="s">
        <v>11</v>
      </c>
      <c r="D209" s="72" t="s">
        <v>11</v>
      </c>
    </row>
    <row r="210" spans="1:4">
      <c r="A210" s="70">
        <v>2664</v>
      </c>
      <c r="B210" s="70" t="s">
        <v>1469</v>
      </c>
      <c r="C210" s="87" t="s">
        <v>11</v>
      </c>
      <c r="D210" s="72" t="s">
        <v>11</v>
      </c>
    </row>
    <row r="211" spans="1:4">
      <c r="A211" s="70">
        <v>2500</v>
      </c>
      <c r="B211" s="70" t="s">
        <v>1239</v>
      </c>
      <c r="C211" s="87" t="s">
        <v>11</v>
      </c>
      <c r="D211" s="72" t="s">
        <v>11</v>
      </c>
    </row>
    <row r="212" spans="1:4">
      <c r="A212" s="70">
        <v>2259</v>
      </c>
      <c r="B212" s="70" t="s">
        <v>1240</v>
      </c>
      <c r="C212" s="87" t="s">
        <v>11</v>
      </c>
      <c r="D212" s="72" t="s">
        <v>20</v>
      </c>
    </row>
    <row r="213" spans="1:4">
      <c r="A213" s="70">
        <v>2098</v>
      </c>
      <c r="B213" s="70" t="s">
        <v>1241</v>
      </c>
      <c r="C213" s="87" t="s">
        <v>11</v>
      </c>
      <c r="D213" s="72" t="s">
        <v>11</v>
      </c>
    </row>
    <row r="214" spans="1:4">
      <c r="A214" s="70">
        <v>2895</v>
      </c>
      <c r="B214" s="70" t="s">
        <v>1242</v>
      </c>
      <c r="C214" s="87" t="s">
        <v>11</v>
      </c>
      <c r="D214" s="72" t="s">
        <v>11</v>
      </c>
    </row>
    <row r="215" spans="1:4">
      <c r="A215" s="71">
        <v>3067</v>
      </c>
      <c r="B215" s="70" t="s">
        <v>1527</v>
      </c>
      <c r="C215" s="87" t="s">
        <v>11</v>
      </c>
      <c r="D215" s="72" t="s">
        <v>20</v>
      </c>
    </row>
    <row r="216" spans="1:4">
      <c r="A216" s="71">
        <v>2676</v>
      </c>
      <c r="B216" s="70" t="s">
        <v>1470</v>
      </c>
      <c r="C216" s="87" t="s">
        <v>11</v>
      </c>
      <c r="D216" s="72" t="s">
        <v>11</v>
      </c>
    </row>
    <row r="217" spans="1:4">
      <c r="A217" s="70">
        <v>2597</v>
      </c>
      <c r="B217" s="70" t="s">
        <v>1090</v>
      </c>
      <c r="C217" s="87" t="s">
        <v>11</v>
      </c>
      <c r="D217" s="72" t="s">
        <v>11</v>
      </c>
    </row>
    <row r="218" spans="1:4">
      <c r="A218" s="71">
        <v>3138</v>
      </c>
      <c r="B218" s="70" t="s">
        <v>1627</v>
      </c>
      <c r="C218" s="87" t="s">
        <v>11</v>
      </c>
      <c r="D218" s="72" t="s">
        <v>11</v>
      </c>
    </row>
    <row r="219" spans="1:4">
      <c r="A219" s="70">
        <v>2783</v>
      </c>
      <c r="B219" s="70" t="s">
        <v>1243</v>
      </c>
      <c r="C219" s="87" t="s">
        <v>11</v>
      </c>
      <c r="D219" s="72" t="s">
        <v>11</v>
      </c>
    </row>
    <row r="220" spans="1:4">
      <c r="A220" s="70">
        <v>2048</v>
      </c>
      <c r="B220" s="70" t="s">
        <v>1244</v>
      </c>
      <c r="C220" s="87" t="s">
        <v>11</v>
      </c>
      <c r="D220" s="72" t="s">
        <v>11</v>
      </c>
    </row>
    <row r="221" spans="1:4">
      <c r="A221" s="70">
        <v>2967</v>
      </c>
      <c r="B221" s="70" t="s">
        <v>1245</v>
      </c>
      <c r="C221" s="87" t="s">
        <v>11</v>
      </c>
      <c r="D221" s="72" t="s">
        <v>11</v>
      </c>
    </row>
    <row r="222" spans="1:4">
      <c r="A222" s="70">
        <v>2808</v>
      </c>
      <c r="B222" s="70" t="s">
        <v>1246</v>
      </c>
      <c r="C222" s="87" t="s">
        <v>11</v>
      </c>
      <c r="D222" s="72" t="s">
        <v>11</v>
      </c>
    </row>
    <row r="223" spans="1:4">
      <c r="A223" s="70">
        <v>3029</v>
      </c>
      <c r="B223" s="70" t="s">
        <v>1494</v>
      </c>
      <c r="C223" s="87" t="s">
        <v>11</v>
      </c>
      <c r="D223" s="72" t="s">
        <v>11</v>
      </c>
    </row>
    <row r="224" spans="1:4">
      <c r="A224" s="70">
        <v>2926</v>
      </c>
      <c r="B224" s="70" t="s">
        <v>1247</v>
      </c>
      <c r="C224" s="87" t="s">
        <v>11</v>
      </c>
      <c r="D224" s="72" t="s">
        <v>11</v>
      </c>
    </row>
    <row r="225" spans="1:4">
      <c r="A225" s="70">
        <v>2756</v>
      </c>
      <c r="B225" s="70" t="s">
        <v>1248</v>
      </c>
      <c r="C225" s="87" t="s">
        <v>11</v>
      </c>
      <c r="D225" s="72" t="s">
        <v>11</v>
      </c>
    </row>
    <row r="226" spans="1:4">
      <c r="A226" s="70">
        <v>2728</v>
      </c>
      <c r="B226" s="70" t="s">
        <v>1097</v>
      </c>
      <c r="C226" s="87" t="s">
        <v>11</v>
      </c>
      <c r="D226" s="72" t="s">
        <v>20</v>
      </c>
    </row>
    <row r="227" spans="1:4">
      <c r="A227" s="71">
        <v>3040</v>
      </c>
      <c r="B227" s="70" t="s">
        <v>1500</v>
      </c>
      <c r="C227" s="87" t="s">
        <v>11</v>
      </c>
      <c r="D227" s="72" t="s">
        <v>11</v>
      </c>
    </row>
    <row r="228" spans="1:4">
      <c r="A228" s="70">
        <v>2275</v>
      </c>
      <c r="B228" s="70" t="s">
        <v>1249</v>
      </c>
      <c r="C228" s="87" t="s">
        <v>11</v>
      </c>
      <c r="D228" s="72" t="s">
        <v>11</v>
      </c>
    </row>
    <row r="229" spans="1:4">
      <c r="A229" s="70">
        <v>1916</v>
      </c>
      <c r="B229" s="70" t="s">
        <v>1250</v>
      </c>
      <c r="C229" s="87" t="s">
        <v>11</v>
      </c>
      <c r="D229" s="72" t="s">
        <v>11</v>
      </c>
    </row>
    <row r="230" spans="1:4">
      <c r="A230" s="71">
        <v>3061</v>
      </c>
      <c r="B230" s="70" t="s">
        <v>1521</v>
      </c>
      <c r="C230" s="87" t="s">
        <v>11</v>
      </c>
      <c r="D230" s="72" t="s">
        <v>11</v>
      </c>
    </row>
    <row r="231" spans="1:4">
      <c r="A231" s="70">
        <v>1835</v>
      </c>
      <c r="B231" s="70" t="s">
        <v>1251</v>
      </c>
      <c r="C231" s="87" t="s">
        <v>11</v>
      </c>
      <c r="D231" s="72" t="s">
        <v>20</v>
      </c>
    </row>
    <row r="232" spans="1:4">
      <c r="A232" s="71">
        <v>3141</v>
      </c>
      <c r="B232" s="70" t="s">
        <v>1596</v>
      </c>
      <c r="C232" s="87" t="s">
        <v>11</v>
      </c>
      <c r="D232" s="72" t="s">
        <v>11</v>
      </c>
    </row>
    <row r="233" spans="1:4">
      <c r="A233" s="70">
        <v>2764</v>
      </c>
      <c r="B233" s="70" t="s">
        <v>1475</v>
      </c>
      <c r="C233" s="87" t="s">
        <v>11</v>
      </c>
      <c r="D233" s="72" t="s">
        <v>11</v>
      </c>
    </row>
    <row r="234" spans="1:4">
      <c r="A234" s="71">
        <v>3132</v>
      </c>
      <c r="B234" s="70" t="s">
        <v>1592</v>
      </c>
      <c r="C234" s="87" t="s">
        <v>11</v>
      </c>
      <c r="D234" s="72" t="s">
        <v>11</v>
      </c>
    </row>
    <row r="235" spans="1:4">
      <c r="A235" s="70">
        <v>2639</v>
      </c>
      <c r="B235" s="70" t="s">
        <v>1252</v>
      </c>
      <c r="C235" s="87" t="s">
        <v>11</v>
      </c>
      <c r="D235" s="72" t="s">
        <v>11</v>
      </c>
    </row>
    <row r="236" spans="1:4">
      <c r="A236" s="70">
        <v>2939</v>
      </c>
      <c r="B236" s="70" t="s">
        <v>1253</v>
      </c>
      <c r="C236" s="87" t="s">
        <v>11</v>
      </c>
      <c r="D236" s="72" t="s">
        <v>11</v>
      </c>
    </row>
    <row r="237" spans="1:4">
      <c r="A237" s="70">
        <v>2863</v>
      </c>
      <c r="B237" s="70" t="s">
        <v>1254</v>
      </c>
      <c r="C237" s="87" t="s">
        <v>11</v>
      </c>
      <c r="D237" s="72" t="s">
        <v>11</v>
      </c>
    </row>
    <row r="238" spans="1:4">
      <c r="A238" s="70">
        <v>3015</v>
      </c>
      <c r="B238" s="70" t="s">
        <v>1488</v>
      </c>
      <c r="C238" s="87" t="s">
        <v>11</v>
      </c>
      <c r="D238" s="72" t="s">
        <v>11</v>
      </c>
    </row>
    <row r="239" spans="1:4">
      <c r="A239" s="71">
        <v>3133</v>
      </c>
      <c r="B239" s="70" t="s">
        <v>1593</v>
      </c>
      <c r="C239" s="87" t="s">
        <v>11</v>
      </c>
      <c r="D239" s="72" t="s">
        <v>11</v>
      </c>
    </row>
    <row r="240" spans="1:4">
      <c r="A240" s="70">
        <v>2905</v>
      </c>
      <c r="B240" s="70" t="s">
        <v>1255</v>
      </c>
      <c r="C240" s="87" t="s">
        <v>11</v>
      </c>
      <c r="D240" s="72" t="s">
        <v>11</v>
      </c>
    </row>
    <row r="241" spans="1:4">
      <c r="A241" s="71">
        <v>3054</v>
      </c>
      <c r="B241" s="70" t="s">
        <v>1514</v>
      </c>
      <c r="C241" s="87" t="s">
        <v>11</v>
      </c>
      <c r="D241" s="72" t="s">
        <v>11</v>
      </c>
    </row>
    <row r="242" spans="1:4">
      <c r="A242" s="71">
        <v>3113</v>
      </c>
      <c r="B242" s="70" t="s">
        <v>1573</v>
      </c>
      <c r="C242" s="87" t="s">
        <v>11</v>
      </c>
      <c r="D242" s="72" t="s">
        <v>11</v>
      </c>
    </row>
    <row r="243" spans="1:4">
      <c r="A243" s="70">
        <v>2566</v>
      </c>
      <c r="B243" s="70" t="s">
        <v>1256</v>
      </c>
      <c r="C243" s="87" t="s">
        <v>11</v>
      </c>
      <c r="D243" s="72" t="s">
        <v>11</v>
      </c>
    </row>
    <row r="244" spans="1:4">
      <c r="A244" s="71">
        <v>3120</v>
      </c>
      <c r="B244" s="70" t="s">
        <v>1580</v>
      </c>
      <c r="C244" s="87" t="s">
        <v>11</v>
      </c>
      <c r="D244" s="72" t="s">
        <v>11</v>
      </c>
    </row>
    <row r="245" spans="1:4">
      <c r="A245" s="70">
        <v>2624</v>
      </c>
      <c r="B245" s="70" t="s">
        <v>1257</v>
      </c>
      <c r="C245" s="87" t="s">
        <v>11</v>
      </c>
      <c r="D245" s="72" t="s">
        <v>11</v>
      </c>
    </row>
    <row r="246" spans="1:4">
      <c r="A246" s="70">
        <v>2949</v>
      </c>
      <c r="B246" s="70" t="s">
        <v>1258</v>
      </c>
      <c r="C246" s="87" t="s">
        <v>11</v>
      </c>
      <c r="D246" s="72" t="s">
        <v>11</v>
      </c>
    </row>
    <row r="247" spans="1:4">
      <c r="A247" s="70">
        <v>2437</v>
      </c>
      <c r="B247" s="70" t="s">
        <v>1259</v>
      </c>
      <c r="C247" s="87" t="s">
        <v>11</v>
      </c>
      <c r="D247" s="72" t="s">
        <v>11</v>
      </c>
    </row>
    <row r="248" spans="1:4">
      <c r="A248" s="71">
        <v>3089</v>
      </c>
      <c r="B248" s="70" t="s">
        <v>1549</v>
      </c>
      <c r="C248" s="87" t="s">
        <v>11</v>
      </c>
      <c r="D248" s="72" t="s">
        <v>11</v>
      </c>
    </row>
    <row r="249" spans="1:4">
      <c r="A249" s="71">
        <v>3088</v>
      </c>
      <c r="B249" s="70" t="s">
        <v>1548</v>
      </c>
      <c r="C249" s="87" t="s">
        <v>11</v>
      </c>
      <c r="D249" s="72" t="s">
        <v>11</v>
      </c>
    </row>
    <row r="250" spans="1:4">
      <c r="A250" s="70">
        <v>2855</v>
      </c>
      <c r="B250" s="70" t="s">
        <v>1260</v>
      </c>
      <c r="C250" s="87" t="s">
        <v>11</v>
      </c>
      <c r="D250" s="72" t="s">
        <v>11</v>
      </c>
    </row>
    <row r="251" spans="1:4">
      <c r="A251" s="70">
        <v>410</v>
      </c>
      <c r="B251" s="70" t="s">
        <v>1261</v>
      </c>
      <c r="C251" s="87" t="s">
        <v>11</v>
      </c>
      <c r="D251" s="72" t="s">
        <v>20</v>
      </c>
    </row>
    <row r="252" spans="1:4">
      <c r="A252" s="70">
        <v>2510</v>
      </c>
      <c r="B252" s="70" t="s">
        <v>1262</v>
      </c>
      <c r="C252" s="87" t="s">
        <v>11</v>
      </c>
      <c r="D252" s="72" t="s">
        <v>20</v>
      </c>
    </row>
    <row r="253" spans="1:4">
      <c r="A253" s="71">
        <v>3069</v>
      </c>
      <c r="B253" s="70" t="s">
        <v>1529</v>
      </c>
      <c r="C253" s="87" t="s">
        <v>11</v>
      </c>
      <c r="D253" s="72" t="s">
        <v>11</v>
      </c>
    </row>
    <row r="254" spans="1:4">
      <c r="A254" s="71">
        <v>3099</v>
      </c>
      <c r="B254" s="70" t="s">
        <v>1559</v>
      </c>
      <c r="C254" s="87" t="s">
        <v>11</v>
      </c>
      <c r="D254" s="72" t="s">
        <v>11</v>
      </c>
    </row>
    <row r="255" spans="1:4">
      <c r="A255" s="70">
        <v>2459</v>
      </c>
      <c r="B255" s="70" t="s">
        <v>1263</v>
      </c>
      <c r="C255" s="87" t="s">
        <v>11</v>
      </c>
      <c r="D255" s="72" t="s">
        <v>11</v>
      </c>
    </row>
    <row r="256" spans="1:4">
      <c r="A256" s="70">
        <v>2462</v>
      </c>
      <c r="B256" s="70" t="s">
        <v>1264</v>
      </c>
      <c r="C256" s="87" t="s">
        <v>11</v>
      </c>
      <c r="D256" s="72" t="s">
        <v>11</v>
      </c>
    </row>
    <row r="257" spans="1:4">
      <c r="A257" s="70">
        <v>2520</v>
      </c>
      <c r="B257" s="70" t="s">
        <v>1265</v>
      </c>
      <c r="C257" s="87" t="s">
        <v>11</v>
      </c>
      <c r="D257" s="72" t="s">
        <v>20</v>
      </c>
    </row>
    <row r="258" spans="1:4">
      <c r="A258" s="70">
        <v>2631</v>
      </c>
      <c r="B258" s="70" t="s">
        <v>1266</v>
      </c>
      <c r="C258" s="87" t="s">
        <v>11</v>
      </c>
      <c r="D258" s="72" t="s">
        <v>11</v>
      </c>
    </row>
    <row r="259" spans="1:4">
      <c r="A259" s="70">
        <v>3000</v>
      </c>
      <c r="B259" s="70" t="s">
        <v>1481</v>
      </c>
      <c r="C259" s="87" t="s">
        <v>11</v>
      </c>
      <c r="D259" s="72" t="s">
        <v>11</v>
      </c>
    </row>
    <row r="260" spans="1:4">
      <c r="A260" s="70">
        <v>2390</v>
      </c>
      <c r="B260" s="70" t="s">
        <v>1267</v>
      </c>
      <c r="C260" s="87" t="s">
        <v>11</v>
      </c>
      <c r="D260" s="72" t="s">
        <v>11</v>
      </c>
    </row>
    <row r="261" spans="1:4">
      <c r="A261" s="71">
        <v>2451</v>
      </c>
      <c r="B261" s="70" t="s">
        <v>1463</v>
      </c>
      <c r="C261" s="87" t="s">
        <v>11</v>
      </c>
      <c r="D261" s="72" t="s">
        <v>11</v>
      </c>
    </row>
    <row r="262" spans="1:4">
      <c r="A262" s="71">
        <v>3125</v>
      </c>
      <c r="B262" s="70" t="s">
        <v>1585</v>
      </c>
      <c r="C262" s="87" t="s">
        <v>11</v>
      </c>
      <c r="D262" s="72" t="s">
        <v>11</v>
      </c>
    </row>
    <row r="263" spans="1:4">
      <c r="A263" s="70">
        <v>2528</v>
      </c>
      <c r="B263" s="70" t="s">
        <v>1268</v>
      </c>
      <c r="C263" s="87" t="s">
        <v>11</v>
      </c>
      <c r="D263" s="72" t="s">
        <v>11</v>
      </c>
    </row>
    <row r="264" spans="1:4">
      <c r="A264" s="70">
        <v>1834</v>
      </c>
      <c r="B264" s="70" t="s">
        <v>1269</v>
      </c>
      <c r="C264" s="87" t="s">
        <v>11</v>
      </c>
      <c r="D264" s="72" t="s">
        <v>20</v>
      </c>
    </row>
    <row r="265" spans="1:4">
      <c r="A265" s="70">
        <v>2374</v>
      </c>
      <c r="B265" s="70" t="s">
        <v>1270</v>
      </c>
      <c r="C265" s="87" t="s">
        <v>11</v>
      </c>
      <c r="D265" s="72" t="s">
        <v>11</v>
      </c>
    </row>
    <row r="266" spans="1:4">
      <c r="A266" s="71">
        <v>3126</v>
      </c>
      <c r="B266" s="70" t="s">
        <v>1586</v>
      </c>
      <c r="C266" s="87" t="s">
        <v>11</v>
      </c>
      <c r="D266" s="72" t="s">
        <v>11</v>
      </c>
    </row>
    <row r="267" spans="1:4">
      <c r="A267" s="70">
        <v>2568</v>
      </c>
      <c r="B267" s="70" t="s">
        <v>1103</v>
      </c>
      <c r="C267" s="87" t="s">
        <v>11</v>
      </c>
      <c r="D267" s="72" t="s">
        <v>11</v>
      </c>
    </row>
    <row r="268" spans="1:4">
      <c r="A268" s="70">
        <v>2876</v>
      </c>
      <c r="B268" s="70" t="s">
        <v>1271</v>
      </c>
      <c r="C268" s="87" t="s">
        <v>11</v>
      </c>
      <c r="D268" s="72" t="s">
        <v>20</v>
      </c>
    </row>
    <row r="269" spans="1:4">
      <c r="A269" s="70">
        <v>1597</v>
      </c>
      <c r="B269" s="70" t="s">
        <v>1272</v>
      </c>
      <c r="C269" s="87" t="s">
        <v>11</v>
      </c>
      <c r="D269" s="72" t="s">
        <v>20</v>
      </c>
    </row>
    <row r="270" spans="1:4">
      <c r="A270" s="70">
        <v>2004</v>
      </c>
      <c r="B270" s="70" t="s">
        <v>144</v>
      </c>
      <c r="C270" s="87" t="s">
        <v>11</v>
      </c>
      <c r="D270" s="72" t="s">
        <v>11</v>
      </c>
    </row>
    <row r="271" spans="1:4">
      <c r="A271" s="70">
        <v>1141</v>
      </c>
      <c r="B271" s="70" t="s">
        <v>1273</v>
      </c>
      <c r="C271" s="87" t="s">
        <v>11</v>
      </c>
      <c r="D271" s="72" t="s">
        <v>11</v>
      </c>
    </row>
    <row r="272" spans="1:4">
      <c r="A272" s="70">
        <v>2338</v>
      </c>
      <c r="B272" s="70" t="s">
        <v>1274</v>
      </c>
      <c r="C272" s="87" t="s">
        <v>11</v>
      </c>
      <c r="D272" s="72" t="s">
        <v>11</v>
      </c>
    </row>
    <row r="273" spans="1:4">
      <c r="A273" s="95">
        <v>3157</v>
      </c>
      <c r="B273" s="56" t="s">
        <v>1665</v>
      </c>
      <c r="C273" s="110" t="s">
        <v>11</v>
      </c>
      <c r="D273" s="72" t="s">
        <v>11</v>
      </c>
    </row>
    <row r="274" spans="1:4">
      <c r="A274" s="70">
        <v>2309</v>
      </c>
      <c r="B274" s="70" t="s">
        <v>1275</v>
      </c>
      <c r="C274" s="87" t="s">
        <v>11</v>
      </c>
      <c r="D274" s="72" t="s">
        <v>11</v>
      </c>
    </row>
    <row r="275" spans="1:4">
      <c r="A275" s="70">
        <v>1861</v>
      </c>
      <c r="B275" s="70" t="s">
        <v>1276</v>
      </c>
      <c r="C275" s="87" t="s">
        <v>11</v>
      </c>
      <c r="D275" s="72" t="s">
        <v>20</v>
      </c>
    </row>
    <row r="276" spans="1:4">
      <c r="A276" s="70">
        <v>2718</v>
      </c>
      <c r="B276" s="70" t="s">
        <v>1277</v>
      </c>
      <c r="C276" s="87" t="s">
        <v>11</v>
      </c>
      <c r="D276" s="72" t="s">
        <v>11</v>
      </c>
    </row>
    <row r="277" spans="1:4">
      <c r="A277" s="70">
        <v>1836</v>
      </c>
      <c r="B277" s="70" t="s">
        <v>1278</v>
      </c>
      <c r="C277" s="87" t="s">
        <v>11</v>
      </c>
      <c r="D277" s="72" t="s">
        <v>11</v>
      </c>
    </row>
    <row r="278" spans="1:4">
      <c r="A278" s="71">
        <v>3121</v>
      </c>
      <c r="B278" s="70" t="s">
        <v>1581</v>
      </c>
      <c r="C278" s="87" t="s">
        <v>11</v>
      </c>
      <c r="D278" s="72" t="s">
        <v>11</v>
      </c>
    </row>
    <row r="279" spans="1:4">
      <c r="A279" s="70">
        <v>2563</v>
      </c>
      <c r="B279" s="70" t="s">
        <v>1447</v>
      </c>
      <c r="C279" s="87" t="s">
        <v>11</v>
      </c>
      <c r="D279" s="72" t="s">
        <v>11</v>
      </c>
    </row>
    <row r="280" spans="1:4">
      <c r="A280" s="71">
        <v>3065</v>
      </c>
      <c r="B280" s="70" t="s">
        <v>1525</v>
      </c>
      <c r="C280" s="87" t="s">
        <v>11</v>
      </c>
      <c r="D280" s="72" t="s">
        <v>11</v>
      </c>
    </row>
    <row r="281" spans="1:4">
      <c r="A281" s="70">
        <v>2992</v>
      </c>
      <c r="B281" s="70" t="s">
        <v>1279</v>
      </c>
      <c r="C281" s="87" t="s">
        <v>11</v>
      </c>
      <c r="D281" s="72" t="s">
        <v>11</v>
      </c>
    </row>
    <row r="282" spans="1:4">
      <c r="A282" s="70">
        <v>1911</v>
      </c>
      <c r="B282" s="70" t="s">
        <v>1280</v>
      </c>
      <c r="C282" s="87" t="s">
        <v>11</v>
      </c>
      <c r="D282" s="72" t="s">
        <v>11</v>
      </c>
    </row>
    <row r="283" spans="1:4">
      <c r="A283" s="71">
        <v>3066</v>
      </c>
      <c r="B283" s="70" t="s">
        <v>1526</v>
      </c>
      <c r="C283" s="87" t="s">
        <v>11</v>
      </c>
      <c r="D283" s="72" t="s">
        <v>11</v>
      </c>
    </row>
    <row r="284" spans="1:4">
      <c r="A284" s="70">
        <v>2488</v>
      </c>
      <c r="B284" s="70" t="s">
        <v>1281</v>
      </c>
      <c r="C284" s="87" t="s">
        <v>11</v>
      </c>
      <c r="D284" s="72" t="s">
        <v>11</v>
      </c>
    </row>
    <row r="285" spans="1:4">
      <c r="A285" s="70">
        <v>2747</v>
      </c>
      <c r="B285" s="70" t="s">
        <v>1282</v>
      </c>
      <c r="C285" s="87" t="s">
        <v>11</v>
      </c>
      <c r="D285" s="72" t="s">
        <v>11</v>
      </c>
    </row>
    <row r="286" spans="1:4">
      <c r="A286" s="71">
        <v>3118</v>
      </c>
      <c r="B286" s="70" t="s">
        <v>1578</v>
      </c>
      <c r="C286" s="87" t="s">
        <v>11</v>
      </c>
      <c r="D286" s="72" t="s">
        <v>11</v>
      </c>
    </row>
    <row r="287" spans="1:4">
      <c r="A287" s="70">
        <v>2529</v>
      </c>
      <c r="B287" s="70" t="s">
        <v>1283</v>
      </c>
      <c r="C287" s="87" t="s">
        <v>11</v>
      </c>
      <c r="D287" s="72" t="s">
        <v>11</v>
      </c>
    </row>
    <row r="288" spans="1:4">
      <c r="A288" s="70">
        <v>2849</v>
      </c>
      <c r="B288" s="70" t="s">
        <v>1284</v>
      </c>
      <c r="C288" s="87" t="s">
        <v>11</v>
      </c>
      <c r="D288" s="72" t="s">
        <v>11</v>
      </c>
    </row>
    <row r="289" spans="1:4">
      <c r="A289" s="70">
        <v>2819</v>
      </c>
      <c r="B289" s="70" t="s">
        <v>1285</v>
      </c>
      <c r="C289" s="87" t="s">
        <v>11</v>
      </c>
      <c r="D289" s="72" t="s">
        <v>11</v>
      </c>
    </row>
    <row r="290" spans="1:4">
      <c r="A290" s="71">
        <v>3098</v>
      </c>
      <c r="B290" s="70" t="s">
        <v>1558</v>
      </c>
      <c r="C290" s="87" t="s">
        <v>11</v>
      </c>
      <c r="D290" s="72" t="s">
        <v>11</v>
      </c>
    </row>
    <row r="291" spans="1:4">
      <c r="A291" s="70">
        <v>2925</v>
      </c>
      <c r="B291" s="70" t="s">
        <v>1286</v>
      </c>
      <c r="C291" s="87" t="s">
        <v>11</v>
      </c>
      <c r="D291" s="72" t="s">
        <v>11</v>
      </c>
    </row>
    <row r="292" spans="1:4">
      <c r="A292" s="70">
        <v>2660</v>
      </c>
      <c r="B292" s="70" t="s">
        <v>1287</v>
      </c>
      <c r="C292" s="87" t="s">
        <v>11</v>
      </c>
      <c r="D292" s="72" t="s">
        <v>11</v>
      </c>
    </row>
    <row r="293" spans="1:4">
      <c r="A293" s="70">
        <v>2880</v>
      </c>
      <c r="B293" s="70" t="s">
        <v>1288</v>
      </c>
      <c r="C293" s="87" t="s">
        <v>11</v>
      </c>
      <c r="D293" s="72" t="s">
        <v>11</v>
      </c>
    </row>
    <row r="294" spans="1:4">
      <c r="A294" s="70">
        <v>2973</v>
      </c>
      <c r="B294" s="70" t="s">
        <v>1289</v>
      </c>
      <c r="C294" s="87" t="s">
        <v>11</v>
      </c>
      <c r="D294" s="72" t="s">
        <v>11</v>
      </c>
    </row>
    <row r="295" spans="1:4">
      <c r="A295" s="71">
        <v>3039</v>
      </c>
      <c r="B295" s="70" t="s">
        <v>1499</v>
      </c>
      <c r="C295" s="87" t="s">
        <v>11</v>
      </c>
      <c r="D295" s="72" t="s">
        <v>20</v>
      </c>
    </row>
    <row r="296" spans="1:4">
      <c r="A296" s="70">
        <v>2843</v>
      </c>
      <c r="B296" s="70" t="s">
        <v>1290</v>
      </c>
      <c r="C296" s="87" t="s">
        <v>11</v>
      </c>
      <c r="D296" s="72" t="s">
        <v>11</v>
      </c>
    </row>
    <row r="297" spans="1:4">
      <c r="A297" s="70">
        <v>1251</v>
      </c>
      <c r="B297" s="70" t="s">
        <v>1291</v>
      </c>
      <c r="C297" s="87" t="s">
        <v>11</v>
      </c>
      <c r="D297" s="72" t="s">
        <v>11</v>
      </c>
    </row>
    <row r="298" spans="1:4">
      <c r="A298" s="70">
        <v>2635</v>
      </c>
      <c r="B298" s="70" t="s">
        <v>1292</v>
      </c>
      <c r="C298" s="87" t="s">
        <v>11</v>
      </c>
      <c r="D298" s="72" t="s">
        <v>11</v>
      </c>
    </row>
    <row r="299" spans="1:4">
      <c r="A299" s="70">
        <v>2898</v>
      </c>
      <c r="B299" s="70" t="s">
        <v>1293</v>
      </c>
      <c r="C299" s="87" t="s">
        <v>11</v>
      </c>
      <c r="D299" s="72" t="s">
        <v>11</v>
      </c>
    </row>
    <row r="300" spans="1:4">
      <c r="A300" s="70">
        <v>2899</v>
      </c>
      <c r="B300" s="70" t="s">
        <v>1294</v>
      </c>
      <c r="C300" s="87" t="s">
        <v>11</v>
      </c>
      <c r="D300" s="72" t="s">
        <v>11</v>
      </c>
    </row>
    <row r="301" spans="1:4">
      <c r="A301" s="70">
        <v>2709</v>
      </c>
      <c r="B301" s="70" t="s">
        <v>1295</v>
      </c>
      <c r="C301" s="87" t="s">
        <v>11</v>
      </c>
      <c r="D301" s="72" t="s">
        <v>11</v>
      </c>
    </row>
    <row r="302" spans="1:4">
      <c r="A302" s="71">
        <v>3063</v>
      </c>
      <c r="B302" s="70" t="s">
        <v>1523</v>
      </c>
      <c r="C302" s="87" t="s">
        <v>11</v>
      </c>
      <c r="D302" s="72" t="s">
        <v>11</v>
      </c>
    </row>
    <row r="303" spans="1:4">
      <c r="A303" s="70">
        <v>2893</v>
      </c>
      <c r="B303" s="70" t="s">
        <v>1297</v>
      </c>
      <c r="C303" s="87" t="s">
        <v>11</v>
      </c>
      <c r="D303" s="72" t="s">
        <v>11</v>
      </c>
    </row>
    <row r="304" spans="1:4">
      <c r="A304" s="70">
        <v>2892</v>
      </c>
      <c r="B304" s="70" t="s">
        <v>1296</v>
      </c>
      <c r="C304" s="87" t="s">
        <v>11</v>
      </c>
      <c r="D304" s="72" t="s">
        <v>11</v>
      </c>
    </row>
    <row r="305" spans="1:4">
      <c r="A305" s="70">
        <v>2879</v>
      </c>
      <c r="B305" s="70" t="s">
        <v>1298</v>
      </c>
      <c r="C305" s="87" t="s">
        <v>11</v>
      </c>
      <c r="D305" s="72" t="s">
        <v>11</v>
      </c>
    </row>
    <row r="306" spans="1:4">
      <c r="A306" s="70">
        <v>2990</v>
      </c>
      <c r="B306" s="70" t="s">
        <v>1299</v>
      </c>
      <c r="C306" s="87" t="s">
        <v>11</v>
      </c>
      <c r="D306" s="72" t="s">
        <v>11</v>
      </c>
    </row>
    <row r="307" spans="1:4">
      <c r="A307" s="71">
        <v>3084</v>
      </c>
      <c r="B307" s="70" t="s">
        <v>1544</v>
      </c>
      <c r="C307" s="87" t="s">
        <v>11</v>
      </c>
      <c r="D307" s="72" t="s">
        <v>20</v>
      </c>
    </row>
    <row r="308" spans="1:4">
      <c r="A308" s="71">
        <v>3135</v>
      </c>
      <c r="B308" s="70" t="s">
        <v>1595</v>
      </c>
      <c r="C308" s="87" t="s">
        <v>11</v>
      </c>
      <c r="D308" s="72" t="s">
        <v>11</v>
      </c>
    </row>
    <row r="309" spans="1:4">
      <c r="A309" s="70">
        <v>2189</v>
      </c>
      <c r="B309" s="70" t="s">
        <v>1300</v>
      </c>
      <c r="C309" s="87" t="s">
        <v>11</v>
      </c>
      <c r="D309" s="72" t="s">
        <v>20</v>
      </c>
    </row>
    <row r="310" spans="1:4">
      <c r="A310" s="70">
        <v>1901</v>
      </c>
      <c r="B310" s="70" t="s">
        <v>1301</v>
      </c>
      <c r="C310" s="87" t="s">
        <v>11</v>
      </c>
      <c r="D310" s="72" t="s">
        <v>11</v>
      </c>
    </row>
    <row r="311" spans="1:4">
      <c r="A311" s="70">
        <v>2610</v>
      </c>
      <c r="B311" s="70" t="s">
        <v>1105</v>
      </c>
      <c r="C311" s="87" t="s">
        <v>11</v>
      </c>
      <c r="D311" s="72" t="s">
        <v>11</v>
      </c>
    </row>
    <row r="312" spans="1:4">
      <c r="A312" s="70">
        <v>1944</v>
      </c>
      <c r="B312" s="70" t="s">
        <v>1302</v>
      </c>
      <c r="C312" s="87" t="s">
        <v>11</v>
      </c>
      <c r="D312" s="72" t="s">
        <v>11</v>
      </c>
    </row>
    <row r="313" spans="1:4">
      <c r="A313" s="70">
        <v>2019</v>
      </c>
      <c r="B313" s="70" t="s">
        <v>1303</v>
      </c>
      <c r="C313" s="87" t="s">
        <v>11</v>
      </c>
      <c r="D313" s="72" t="s">
        <v>11</v>
      </c>
    </row>
    <row r="314" spans="1:4">
      <c r="A314" s="70">
        <v>2029</v>
      </c>
      <c r="B314" s="70" t="s">
        <v>1304</v>
      </c>
      <c r="C314" s="87" t="s">
        <v>11</v>
      </c>
      <c r="D314" s="72" t="s">
        <v>20</v>
      </c>
    </row>
    <row r="315" spans="1:4">
      <c r="A315" s="71">
        <v>3134</v>
      </c>
      <c r="B315" s="70" t="s">
        <v>1594</v>
      </c>
      <c r="C315" s="87" t="s">
        <v>11</v>
      </c>
      <c r="D315" s="72" t="s">
        <v>11</v>
      </c>
    </row>
    <row r="316" spans="1:4">
      <c r="A316" s="71">
        <v>3137</v>
      </c>
      <c r="B316" s="70" t="s">
        <v>1626</v>
      </c>
      <c r="C316" s="87" t="s">
        <v>11</v>
      </c>
      <c r="D316" s="72" t="s">
        <v>11</v>
      </c>
    </row>
    <row r="317" spans="1:4">
      <c r="A317" s="71">
        <v>3101</v>
      </c>
      <c r="B317" s="70" t="s">
        <v>1561</v>
      </c>
      <c r="C317" s="87" t="s">
        <v>11</v>
      </c>
      <c r="D317" s="72" t="s">
        <v>11</v>
      </c>
    </row>
    <row r="318" spans="1:4">
      <c r="A318" s="71">
        <v>2387</v>
      </c>
      <c r="B318" s="70" t="s">
        <v>1598</v>
      </c>
      <c r="C318" s="87" t="s">
        <v>11</v>
      </c>
      <c r="D318" s="72" t="s">
        <v>11</v>
      </c>
    </row>
    <row r="319" spans="1:4">
      <c r="A319" s="70">
        <v>2881</v>
      </c>
      <c r="B319" s="70" t="s">
        <v>1305</v>
      </c>
      <c r="C319" s="87" t="s">
        <v>11</v>
      </c>
      <c r="D319" s="72" t="s">
        <v>11</v>
      </c>
    </row>
    <row r="320" spans="1:4">
      <c r="A320" s="63">
        <v>2978</v>
      </c>
      <c r="B320" s="56" t="s">
        <v>1673</v>
      </c>
      <c r="C320" s="112" t="s">
        <v>11</v>
      </c>
      <c r="D320" s="72"/>
    </row>
    <row r="321" spans="1:4">
      <c r="A321" s="71">
        <v>3072</v>
      </c>
      <c r="B321" s="70" t="s">
        <v>1532</v>
      </c>
      <c r="C321" s="87" t="s">
        <v>11</v>
      </c>
      <c r="D321" s="72" t="s">
        <v>20</v>
      </c>
    </row>
    <row r="322" spans="1:4">
      <c r="A322" s="70">
        <v>3002</v>
      </c>
      <c r="B322" s="70" t="s">
        <v>1482</v>
      </c>
      <c r="C322" s="87" t="s">
        <v>11</v>
      </c>
      <c r="D322" s="72" t="s">
        <v>11</v>
      </c>
    </row>
    <row r="323" spans="1:4">
      <c r="A323" s="70">
        <v>2991</v>
      </c>
      <c r="B323" s="70" t="s">
        <v>1306</v>
      </c>
      <c r="C323" s="87" t="s">
        <v>11</v>
      </c>
      <c r="D323" s="72" t="s">
        <v>11</v>
      </c>
    </row>
    <row r="324" spans="1:4">
      <c r="A324" s="70">
        <v>2983</v>
      </c>
      <c r="B324" s="70" t="s">
        <v>1307</v>
      </c>
      <c r="C324" s="87" t="s">
        <v>11</v>
      </c>
      <c r="D324" s="72" t="s">
        <v>11</v>
      </c>
    </row>
    <row r="325" spans="1:4">
      <c r="A325" s="71">
        <v>3122</v>
      </c>
      <c r="B325" s="70" t="s">
        <v>1582</v>
      </c>
      <c r="C325" s="87" t="s">
        <v>11</v>
      </c>
      <c r="D325" s="72" t="s">
        <v>11</v>
      </c>
    </row>
    <row r="326" spans="1:4">
      <c r="A326" s="70">
        <v>2877</v>
      </c>
      <c r="B326" s="70" t="s">
        <v>1101</v>
      </c>
      <c r="C326" s="87" t="s">
        <v>11</v>
      </c>
      <c r="D326" s="72" t="s">
        <v>11</v>
      </c>
    </row>
    <row r="327" spans="1:4">
      <c r="A327" s="70">
        <v>2532</v>
      </c>
      <c r="B327" s="70" t="s">
        <v>1308</v>
      </c>
      <c r="C327" s="87" t="s">
        <v>11</v>
      </c>
      <c r="D327" s="72" t="s">
        <v>11</v>
      </c>
    </row>
    <row r="328" spans="1:4">
      <c r="A328" s="71">
        <v>3064</v>
      </c>
      <c r="B328" s="70" t="s">
        <v>1524</v>
      </c>
      <c r="C328" s="87" t="s">
        <v>11</v>
      </c>
      <c r="D328" s="72" t="s">
        <v>11</v>
      </c>
    </row>
    <row r="329" spans="1:4">
      <c r="A329" s="71">
        <v>3103</v>
      </c>
      <c r="B329" s="70" t="s">
        <v>1563</v>
      </c>
      <c r="C329" s="87" t="s">
        <v>11</v>
      </c>
      <c r="D329" s="72" t="s">
        <v>20</v>
      </c>
    </row>
    <row r="330" spans="1:4">
      <c r="A330" s="71">
        <v>3071</v>
      </c>
      <c r="B330" s="70" t="s">
        <v>1531</v>
      </c>
      <c r="C330" s="87" t="s">
        <v>11</v>
      </c>
      <c r="D330" s="72" t="s">
        <v>11</v>
      </c>
    </row>
    <row r="331" spans="1:4">
      <c r="A331" s="70">
        <v>2516</v>
      </c>
      <c r="B331" s="70" t="s">
        <v>1309</v>
      </c>
      <c r="C331" s="87" t="s">
        <v>11</v>
      </c>
      <c r="D331" s="72" t="s">
        <v>11</v>
      </c>
    </row>
    <row r="332" spans="1:4">
      <c r="A332" s="71">
        <v>2734</v>
      </c>
      <c r="B332" s="70" t="s">
        <v>1474</v>
      </c>
      <c r="C332" s="87" t="s">
        <v>11</v>
      </c>
      <c r="D332" s="72" t="s">
        <v>11</v>
      </c>
    </row>
    <row r="333" spans="1:4">
      <c r="A333" s="71">
        <v>3145</v>
      </c>
      <c r="B333" s="70" t="s">
        <v>1603</v>
      </c>
      <c r="C333" s="87" t="s">
        <v>11</v>
      </c>
      <c r="D333" s="72" t="s">
        <v>11</v>
      </c>
    </row>
    <row r="334" spans="1:4">
      <c r="A334" s="70">
        <v>2753</v>
      </c>
      <c r="B334" s="70" t="s">
        <v>1310</v>
      </c>
      <c r="C334" s="87" t="s">
        <v>11</v>
      </c>
      <c r="D334" s="72" t="s">
        <v>11</v>
      </c>
    </row>
    <row r="335" spans="1:4">
      <c r="A335" s="95">
        <v>3156</v>
      </c>
      <c r="B335" s="56" t="s">
        <v>1664</v>
      </c>
      <c r="C335" s="110" t="s">
        <v>11</v>
      </c>
      <c r="D335" s="72" t="s">
        <v>11</v>
      </c>
    </row>
    <row r="336" spans="1:4">
      <c r="A336" s="70">
        <v>2763</v>
      </c>
      <c r="B336" s="70" t="s">
        <v>1311</v>
      </c>
      <c r="C336" s="87" t="s">
        <v>11</v>
      </c>
      <c r="D336" s="72" t="s">
        <v>11</v>
      </c>
    </row>
    <row r="337" spans="1:4">
      <c r="A337" s="71">
        <v>3108</v>
      </c>
      <c r="B337" s="70" t="s">
        <v>1568</v>
      </c>
      <c r="C337" s="87" t="s">
        <v>11</v>
      </c>
      <c r="D337" s="72"/>
    </row>
    <row r="338" spans="1:4">
      <c r="A338" s="70">
        <v>2625</v>
      </c>
      <c r="B338" s="70" t="s">
        <v>1312</v>
      </c>
      <c r="C338" s="87" t="s">
        <v>11</v>
      </c>
      <c r="D338" s="72" t="s">
        <v>11</v>
      </c>
    </row>
    <row r="339" spans="1:4">
      <c r="A339" s="70">
        <v>2642</v>
      </c>
      <c r="B339" s="70" t="s">
        <v>1313</v>
      </c>
      <c r="C339" s="87" t="s">
        <v>11</v>
      </c>
      <c r="D339" s="72" t="s">
        <v>11</v>
      </c>
    </row>
    <row r="340" spans="1:4">
      <c r="A340" s="71">
        <v>3107</v>
      </c>
      <c r="B340" s="70" t="s">
        <v>1567</v>
      </c>
      <c r="C340" s="87" t="s">
        <v>11</v>
      </c>
      <c r="D340" s="72" t="s">
        <v>11</v>
      </c>
    </row>
    <row r="341" spans="1:4">
      <c r="A341" s="71">
        <v>2896</v>
      </c>
      <c r="B341" s="70" t="s">
        <v>1477</v>
      </c>
      <c r="C341" s="87" t="s">
        <v>11</v>
      </c>
      <c r="D341" s="72" t="s">
        <v>11</v>
      </c>
    </row>
    <row r="342" spans="1:4">
      <c r="A342" s="71">
        <v>3123</v>
      </c>
      <c r="B342" s="70" t="s">
        <v>1583</v>
      </c>
      <c r="C342" s="87" t="s">
        <v>11</v>
      </c>
      <c r="D342" s="72" t="s">
        <v>11</v>
      </c>
    </row>
    <row r="343" spans="1:4">
      <c r="A343" s="70">
        <v>3004</v>
      </c>
      <c r="B343" s="70" t="s">
        <v>1483</v>
      </c>
      <c r="C343" s="87" t="s">
        <v>11</v>
      </c>
      <c r="D343" s="72" t="s">
        <v>11</v>
      </c>
    </row>
    <row r="344" spans="1:4">
      <c r="A344" s="70">
        <v>2403</v>
      </c>
      <c r="B344" s="70" t="s">
        <v>1314</v>
      </c>
      <c r="C344" s="87" t="s">
        <v>11</v>
      </c>
      <c r="D344" s="72" t="s">
        <v>11</v>
      </c>
    </row>
    <row r="345" spans="1:4">
      <c r="A345" s="70">
        <v>2900</v>
      </c>
      <c r="B345" s="70" t="s">
        <v>1315</v>
      </c>
      <c r="C345" s="87" t="s">
        <v>11</v>
      </c>
      <c r="D345" s="72" t="s">
        <v>11</v>
      </c>
    </row>
    <row r="346" spans="1:4">
      <c r="A346" s="70">
        <v>2872</v>
      </c>
      <c r="B346" s="70" t="s">
        <v>1316</v>
      </c>
      <c r="C346" s="87" t="s">
        <v>11</v>
      </c>
      <c r="D346" s="72" t="s">
        <v>11</v>
      </c>
    </row>
    <row r="347" spans="1:4">
      <c r="A347" s="70">
        <v>1888</v>
      </c>
      <c r="B347" s="70" t="s">
        <v>1317</v>
      </c>
      <c r="C347" s="87" t="s">
        <v>11</v>
      </c>
      <c r="D347" s="72" t="s">
        <v>20</v>
      </c>
    </row>
    <row r="348" spans="1:4">
      <c r="A348" s="71">
        <v>2662</v>
      </c>
      <c r="B348" s="70" t="s">
        <v>1467</v>
      </c>
      <c r="C348" s="87" t="s">
        <v>11</v>
      </c>
      <c r="D348" s="72" t="s">
        <v>11</v>
      </c>
    </row>
    <row r="349" spans="1:4">
      <c r="A349" s="70">
        <v>2987</v>
      </c>
      <c r="B349" s="70" t="s">
        <v>1318</v>
      </c>
      <c r="C349" s="87" t="s">
        <v>11</v>
      </c>
      <c r="D349" s="72" t="s">
        <v>11</v>
      </c>
    </row>
    <row r="350" spans="1:4">
      <c r="A350" s="70">
        <v>2778</v>
      </c>
      <c r="B350" s="70" t="s">
        <v>1319</v>
      </c>
      <c r="C350" s="87" t="s">
        <v>11</v>
      </c>
      <c r="D350" s="72" t="s">
        <v>11</v>
      </c>
    </row>
    <row r="351" spans="1:4">
      <c r="A351" s="70">
        <v>2692</v>
      </c>
      <c r="B351" s="70" t="s">
        <v>1471</v>
      </c>
      <c r="C351" s="87" t="s">
        <v>11</v>
      </c>
      <c r="D351" s="72" t="s">
        <v>11</v>
      </c>
    </row>
    <row r="352" spans="1:4">
      <c r="A352" s="70">
        <v>2644</v>
      </c>
      <c r="B352" s="70" t="s">
        <v>1320</v>
      </c>
      <c r="C352" s="87" t="s">
        <v>11</v>
      </c>
      <c r="D352" s="72" t="s">
        <v>11</v>
      </c>
    </row>
    <row r="353" spans="1:4">
      <c r="A353" s="70">
        <v>2670</v>
      </c>
      <c r="B353" s="70" t="s">
        <v>1321</v>
      </c>
      <c r="C353" s="87" t="s">
        <v>11</v>
      </c>
      <c r="D353" s="72" t="s">
        <v>11</v>
      </c>
    </row>
    <row r="354" spans="1:4">
      <c r="A354" s="70">
        <v>1391</v>
      </c>
      <c r="B354" s="70" t="s">
        <v>1322</v>
      </c>
      <c r="C354" s="87" t="s">
        <v>11</v>
      </c>
      <c r="D354" s="72" t="s">
        <v>11</v>
      </c>
    </row>
    <row r="355" spans="1:4">
      <c r="A355" s="70">
        <v>2596</v>
      </c>
      <c r="B355" s="70" t="s">
        <v>1323</v>
      </c>
      <c r="C355" s="87" t="s">
        <v>11</v>
      </c>
      <c r="D355" s="72" t="s">
        <v>11</v>
      </c>
    </row>
    <row r="356" spans="1:4">
      <c r="A356" s="70">
        <v>2851</v>
      </c>
      <c r="B356" s="70" t="s">
        <v>1324</v>
      </c>
      <c r="C356" s="87" t="s">
        <v>11</v>
      </c>
      <c r="D356" s="72" t="s">
        <v>11</v>
      </c>
    </row>
    <row r="357" spans="1:4">
      <c r="A357" s="70">
        <v>3008</v>
      </c>
      <c r="B357" s="70" t="s">
        <v>1485</v>
      </c>
      <c r="C357" s="87" t="s">
        <v>11</v>
      </c>
      <c r="D357" s="72" t="s">
        <v>11</v>
      </c>
    </row>
    <row r="358" spans="1:4">
      <c r="A358" s="71">
        <v>3082</v>
      </c>
      <c r="B358" s="70" t="s">
        <v>1542</v>
      </c>
      <c r="C358" s="87" t="s">
        <v>11</v>
      </c>
      <c r="D358" s="72" t="s">
        <v>11</v>
      </c>
    </row>
    <row r="359" spans="1:4">
      <c r="A359" s="71">
        <v>3043</v>
      </c>
      <c r="B359" s="70" t="s">
        <v>1503</v>
      </c>
      <c r="C359" s="87" t="s">
        <v>11</v>
      </c>
      <c r="D359" s="72" t="s">
        <v>11</v>
      </c>
    </row>
    <row r="360" spans="1:4">
      <c r="A360" s="70">
        <v>2918</v>
      </c>
      <c r="B360" s="70" t="s">
        <v>1089</v>
      </c>
      <c r="C360" s="87" t="s">
        <v>11</v>
      </c>
      <c r="D360" s="72" t="s">
        <v>20</v>
      </c>
    </row>
    <row r="361" spans="1:4">
      <c r="A361" s="70">
        <v>2351</v>
      </c>
      <c r="B361" s="70" t="s">
        <v>1326</v>
      </c>
      <c r="C361" s="87" t="s">
        <v>11</v>
      </c>
      <c r="D361" s="72" t="s">
        <v>11</v>
      </c>
    </row>
    <row r="362" spans="1:4">
      <c r="A362" s="70">
        <v>2551</v>
      </c>
      <c r="B362" s="70" t="s">
        <v>1325</v>
      </c>
      <c r="C362" s="87" t="s">
        <v>11</v>
      </c>
      <c r="D362" s="72" t="s">
        <v>11</v>
      </c>
    </row>
    <row r="363" spans="1:4">
      <c r="A363" s="70">
        <v>2977</v>
      </c>
      <c r="B363" s="70" t="s">
        <v>1327</v>
      </c>
      <c r="C363" s="87" t="s">
        <v>11</v>
      </c>
      <c r="D363" s="72" t="s">
        <v>11</v>
      </c>
    </row>
    <row r="364" spans="1:4">
      <c r="A364" s="70">
        <v>2258</v>
      </c>
      <c r="B364" s="70" t="s">
        <v>1328</v>
      </c>
      <c r="C364" s="87" t="s">
        <v>11</v>
      </c>
      <c r="D364" s="72" t="s">
        <v>11</v>
      </c>
    </row>
    <row r="365" spans="1:4">
      <c r="A365" s="70">
        <v>2509</v>
      </c>
      <c r="B365" s="70" t="s">
        <v>1329</v>
      </c>
      <c r="C365" s="87" t="s">
        <v>11</v>
      </c>
      <c r="D365" s="72" t="s">
        <v>11</v>
      </c>
    </row>
    <row r="366" spans="1:4">
      <c r="A366" s="70">
        <v>2974</v>
      </c>
      <c r="B366" s="70" t="s">
        <v>1096</v>
      </c>
      <c r="C366" s="87" t="s">
        <v>11</v>
      </c>
      <c r="D366" s="72" t="s">
        <v>11</v>
      </c>
    </row>
    <row r="367" spans="1:4">
      <c r="A367" s="71">
        <v>3102</v>
      </c>
      <c r="B367" s="70" t="s">
        <v>1562</v>
      </c>
      <c r="C367" s="87" t="s">
        <v>11</v>
      </c>
      <c r="D367" s="72" t="s">
        <v>11</v>
      </c>
    </row>
    <row r="368" spans="1:4">
      <c r="A368" s="70">
        <v>2653</v>
      </c>
      <c r="B368" s="70" t="s">
        <v>1330</v>
      </c>
      <c r="C368" s="87" t="s">
        <v>11</v>
      </c>
      <c r="D368" s="72" t="s">
        <v>11</v>
      </c>
    </row>
    <row r="369" spans="1:4">
      <c r="A369" s="70">
        <v>2620</v>
      </c>
      <c r="B369" s="70" t="s">
        <v>1331</v>
      </c>
      <c r="C369" s="87" t="s">
        <v>11</v>
      </c>
      <c r="D369" s="72" t="s">
        <v>11</v>
      </c>
    </row>
    <row r="370" spans="1:4">
      <c r="A370" s="70">
        <v>2427</v>
      </c>
      <c r="B370" s="70" t="s">
        <v>1332</v>
      </c>
      <c r="C370" s="87" t="s">
        <v>11</v>
      </c>
      <c r="D370" s="72" t="s">
        <v>11</v>
      </c>
    </row>
    <row r="371" spans="1:4">
      <c r="A371" s="70">
        <v>2127</v>
      </c>
      <c r="B371" s="70" t="s">
        <v>1333</v>
      </c>
      <c r="C371" s="87" t="s">
        <v>11</v>
      </c>
      <c r="D371" s="72" t="s">
        <v>11</v>
      </c>
    </row>
    <row r="372" spans="1:4">
      <c r="A372" s="71">
        <v>3128</v>
      </c>
      <c r="B372" s="70" t="s">
        <v>1588</v>
      </c>
      <c r="C372" s="87" t="s">
        <v>11</v>
      </c>
      <c r="D372" s="72" t="s">
        <v>11</v>
      </c>
    </row>
    <row r="373" spans="1:4">
      <c r="A373" s="71">
        <v>3051</v>
      </c>
      <c r="B373" s="70" t="s">
        <v>1511</v>
      </c>
      <c r="C373" s="87" t="s">
        <v>11</v>
      </c>
      <c r="D373" s="72" t="s">
        <v>11</v>
      </c>
    </row>
    <row r="374" spans="1:4">
      <c r="A374" s="70">
        <v>2525</v>
      </c>
      <c r="B374" s="70" t="s">
        <v>1334</v>
      </c>
      <c r="C374" s="87" t="s">
        <v>11</v>
      </c>
      <c r="D374" s="72" t="s">
        <v>20</v>
      </c>
    </row>
    <row r="375" spans="1:4">
      <c r="A375" s="71">
        <v>3076</v>
      </c>
      <c r="B375" s="70" t="s">
        <v>1536</v>
      </c>
      <c r="C375" s="87" t="s">
        <v>11</v>
      </c>
      <c r="D375" s="72" t="s">
        <v>11</v>
      </c>
    </row>
    <row r="376" spans="1:4">
      <c r="A376" s="70">
        <v>2859</v>
      </c>
      <c r="B376" s="70" t="s">
        <v>1335</v>
      </c>
      <c r="C376" s="87" t="s">
        <v>11</v>
      </c>
      <c r="D376" s="72" t="s">
        <v>20</v>
      </c>
    </row>
    <row r="377" spans="1:4">
      <c r="A377" s="71">
        <v>3119</v>
      </c>
      <c r="B377" s="70" t="s">
        <v>1579</v>
      </c>
      <c r="C377" s="87" t="s">
        <v>11</v>
      </c>
      <c r="D377" s="72" t="s">
        <v>11</v>
      </c>
    </row>
    <row r="378" spans="1:4">
      <c r="A378" s="70">
        <v>3028</v>
      </c>
      <c r="B378" s="70" t="s">
        <v>1493</v>
      </c>
      <c r="C378" s="87" t="s">
        <v>11</v>
      </c>
      <c r="D378" s="72" t="s">
        <v>11</v>
      </c>
    </row>
    <row r="379" spans="1:4">
      <c r="A379" s="70">
        <v>2937</v>
      </c>
      <c r="B379" s="70" t="s">
        <v>1336</v>
      </c>
      <c r="C379" s="87" t="s">
        <v>11</v>
      </c>
      <c r="D379" s="72" t="s">
        <v>11</v>
      </c>
    </row>
    <row r="380" spans="1:4">
      <c r="A380" s="70">
        <v>2553</v>
      </c>
      <c r="B380" s="70" t="s">
        <v>1337</v>
      </c>
      <c r="C380" s="87" t="s">
        <v>11</v>
      </c>
      <c r="D380" s="72" t="s">
        <v>11</v>
      </c>
    </row>
    <row r="381" spans="1:4">
      <c r="A381" s="70">
        <v>2903</v>
      </c>
      <c r="B381" s="70" t="s">
        <v>1338</v>
      </c>
      <c r="C381" s="87" t="s">
        <v>11</v>
      </c>
      <c r="D381" s="72" t="s">
        <v>20</v>
      </c>
    </row>
    <row r="382" spans="1:4">
      <c r="A382" s="70">
        <v>2074</v>
      </c>
      <c r="B382" s="70" t="s">
        <v>1339</v>
      </c>
      <c r="C382" s="87" t="s">
        <v>11</v>
      </c>
      <c r="D382" s="72" t="s">
        <v>11</v>
      </c>
    </row>
    <row r="383" spans="1:4">
      <c r="A383" s="70">
        <v>2300</v>
      </c>
      <c r="B383" s="70" t="s">
        <v>1340</v>
      </c>
      <c r="C383" s="87" t="s">
        <v>11</v>
      </c>
      <c r="D383" s="72" t="s">
        <v>11</v>
      </c>
    </row>
    <row r="384" spans="1:4">
      <c r="A384" s="70">
        <v>2668</v>
      </c>
      <c r="B384" s="70" t="s">
        <v>1341</v>
      </c>
      <c r="C384" s="87" t="s">
        <v>11</v>
      </c>
      <c r="D384" s="72" t="s">
        <v>11</v>
      </c>
    </row>
    <row r="385" spans="1:4">
      <c r="A385" s="70">
        <v>3027</v>
      </c>
      <c r="B385" s="70" t="s">
        <v>1492</v>
      </c>
      <c r="C385" s="87" t="s">
        <v>11</v>
      </c>
      <c r="D385" s="72" t="s">
        <v>20</v>
      </c>
    </row>
    <row r="386" spans="1:4">
      <c r="A386" s="70">
        <v>2605</v>
      </c>
      <c r="B386" s="70" t="s">
        <v>1342</v>
      </c>
      <c r="C386" s="87" t="s">
        <v>11</v>
      </c>
      <c r="D386" s="72" t="s">
        <v>11</v>
      </c>
    </row>
    <row r="387" spans="1:4">
      <c r="A387" s="71">
        <v>3057</v>
      </c>
      <c r="B387" s="70" t="s">
        <v>1517</v>
      </c>
      <c r="C387" s="87" t="s">
        <v>11</v>
      </c>
      <c r="D387" s="72" t="s">
        <v>11</v>
      </c>
    </row>
    <row r="388" spans="1:4">
      <c r="A388" s="70">
        <v>2935</v>
      </c>
      <c r="B388" s="70" t="s">
        <v>1343</v>
      </c>
      <c r="C388" s="87" t="s">
        <v>11</v>
      </c>
      <c r="D388" s="72" t="s">
        <v>11</v>
      </c>
    </row>
    <row r="389" spans="1:4">
      <c r="A389" s="71">
        <v>3075</v>
      </c>
      <c r="B389" s="70" t="s">
        <v>1535</v>
      </c>
      <c r="C389" s="87" t="s">
        <v>11</v>
      </c>
      <c r="D389" s="72" t="s">
        <v>11</v>
      </c>
    </row>
    <row r="390" spans="1:4">
      <c r="A390" s="70">
        <v>2087</v>
      </c>
      <c r="B390" s="70" t="s">
        <v>1344</v>
      </c>
      <c r="C390" s="87" t="s">
        <v>11</v>
      </c>
      <c r="D390" s="72" t="s">
        <v>11</v>
      </c>
    </row>
    <row r="391" spans="1:4">
      <c r="A391" s="70">
        <v>2743</v>
      </c>
      <c r="B391" s="70" t="s">
        <v>1345</v>
      </c>
      <c r="C391" s="87" t="s">
        <v>11</v>
      </c>
      <c r="D391" s="72" t="s">
        <v>11</v>
      </c>
    </row>
    <row r="392" spans="1:4">
      <c r="A392" s="71">
        <v>3100</v>
      </c>
      <c r="B392" s="70" t="s">
        <v>1560</v>
      </c>
      <c r="C392" s="87" t="s">
        <v>11</v>
      </c>
      <c r="D392" s="72" t="s">
        <v>11</v>
      </c>
    </row>
    <row r="393" spans="1:4">
      <c r="A393" s="70">
        <v>1971</v>
      </c>
      <c r="B393" s="70" t="s">
        <v>1346</v>
      </c>
      <c r="C393" s="87" t="s">
        <v>11</v>
      </c>
      <c r="D393" s="72" t="s">
        <v>11</v>
      </c>
    </row>
    <row r="394" spans="1:4">
      <c r="A394" s="71">
        <v>3115</v>
      </c>
      <c r="B394" s="70" t="s">
        <v>1575</v>
      </c>
      <c r="C394" s="87" t="s">
        <v>11</v>
      </c>
      <c r="D394" s="72" t="s">
        <v>11</v>
      </c>
    </row>
    <row r="395" spans="1:4">
      <c r="A395" s="71">
        <v>3086</v>
      </c>
      <c r="B395" s="70" t="s">
        <v>1546</v>
      </c>
      <c r="C395" s="87" t="s">
        <v>11</v>
      </c>
      <c r="D395" s="72" t="s">
        <v>11</v>
      </c>
    </row>
    <row r="396" spans="1:4">
      <c r="A396" s="70">
        <v>2856</v>
      </c>
      <c r="B396" s="70" t="s">
        <v>1347</v>
      </c>
      <c r="C396" s="87" t="s">
        <v>11</v>
      </c>
      <c r="D396" s="72" t="s">
        <v>11</v>
      </c>
    </row>
    <row r="397" spans="1:4">
      <c r="A397" s="70">
        <v>2527</v>
      </c>
      <c r="B397" s="70" t="s">
        <v>1348</v>
      </c>
      <c r="C397" s="87" t="s">
        <v>11</v>
      </c>
      <c r="D397" s="72" t="s">
        <v>11</v>
      </c>
    </row>
    <row r="398" spans="1:4">
      <c r="A398" s="70">
        <v>2818</v>
      </c>
      <c r="B398" s="70" t="s">
        <v>1349</v>
      </c>
      <c r="C398" s="87" t="s">
        <v>11</v>
      </c>
      <c r="D398" s="72" t="s">
        <v>11</v>
      </c>
    </row>
    <row r="399" spans="1:4">
      <c r="A399" s="70">
        <v>3009</v>
      </c>
      <c r="B399" s="70" t="s">
        <v>1486</v>
      </c>
      <c r="C399" s="87" t="s">
        <v>11</v>
      </c>
      <c r="D399" s="72" t="s">
        <v>11</v>
      </c>
    </row>
    <row r="400" spans="1:4">
      <c r="A400" s="70">
        <v>2418</v>
      </c>
      <c r="B400" s="70" t="s">
        <v>1350</v>
      </c>
      <c r="C400" s="87" t="s">
        <v>11</v>
      </c>
      <c r="D400" s="72" t="s">
        <v>11</v>
      </c>
    </row>
    <row r="401" spans="1:4">
      <c r="A401" s="71">
        <v>3074</v>
      </c>
      <c r="B401" s="70" t="s">
        <v>1534</v>
      </c>
      <c r="C401" s="87" t="s">
        <v>11</v>
      </c>
      <c r="D401" s="72" t="s">
        <v>11</v>
      </c>
    </row>
    <row r="402" spans="1:4">
      <c r="A402" s="70">
        <v>2751</v>
      </c>
      <c r="B402" s="70" t="s">
        <v>1351</v>
      </c>
      <c r="C402" s="87" t="s">
        <v>11</v>
      </c>
      <c r="D402" s="72" t="s">
        <v>11</v>
      </c>
    </row>
    <row r="403" spans="1:4">
      <c r="A403" s="70">
        <v>2969</v>
      </c>
      <c r="B403" s="70" t="s">
        <v>1352</v>
      </c>
      <c r="C403" s="87" t="s">
        <v>11</v>
      </c>
      <c r="D403" s="72" t="s">
        <v>11</v>
      </c>
    </row>
    <row r="404" spans="1:4">
      <c r="A404" s="70">
        <v>2654</v>
      </c>
      <c r="B404" s="70" t="s">
        <v>1353</v>
      </c>
      <c r="C404" s="87" t="s">
        <v>11</v>
      </c>
      <c r="D404" s="72" t="s">
        <v>11</v>
      </c>
    </row>
    <row r="405" spans="1:4">
      <c r="A405" s="70">
        <v>1397</v>
      </c>
      <c r="B405" s="70" t="s">
        <v>1354</v>
      </c>
      <c r="C405" s="87" t="s">
        <v>11</v>
      </c>
      <c r="D405" s="72" t="s">
        <v>11</v>
      </c>
    </row>
    <row r="406" spans="1:4">
      <c r="A406" s="70">
        <v>1919</v>
      </c>
      <c r="B406" s="70" t="s">
        <v>1355</v>
      </c>
      <c r="C406" s="87" t="s">
        <v>11</v>
      </c>
      <c r="D406" s="72" t="s">
        <v>11</v>
      </c>
    </row>
    <row r="407" spans="1:4">
      <c r="A407" s="70">
        <v>1623</v>
      </c>
      <c r="B407" s="70" t="s">
        <v>1356</v>
      </c>
      <c r="C407" s="87" t="s">
        <v>11</v>
      </c>
      <c r="D407" s="72" t="s">
        <v>11</v>
      </c>
    </row>
    <row r="408" spans="1:4">
      <c r="A408" s="70">
        <v>2864</v>
      </c>
      <c r="B408" s="70" t="s">
        <v>1357</v>
      </c>
      <c r="C408" s="87" t="s">
        <v>11</v>
      </c>
      <c r="D408" s="72" t="s">
        <v>11</v>
      </c>
    </row>
    <row r="409" spans="1:4">
      <c r="A409" s="70">
        <v>2931</v>
      </c>
      <c r="B409" s="70" t="s">
        <v>1358</v>
      </c>
      <c r="C409" s="87" t="s">
        <v>11</v>
      </c>
      <c r="D409" s="72" t="s">
        <v>11</v>
      </c>
    </row>
    <row r="410" spans="1:4">
      <c r="A410" s="70">
        <v>2541</v>
      </c>
      <c r="B410" s="70" t="s">
        <v>1359</v>
      </c>
      <c r="C410" s="87" t="s">
        <v>11</v>
      </c>
      <c r="D410" s="72" t="s">
        <v>11</v>
      </c>
    </row>
    <row r="411" spans="1:4">
      <c r="A411" s="70">
        <v>2084</v>
      </c>
      <c r="B411" s="70" t="s">
        <v>1458</v>
      </c>
      <c r="C411" s="87" t="s">
        <v>11</v>
      </c>
      <c r="D411" s="72" t="s">
        <v>11</v>
      </c>
    </row>
    <row r="412" spans="1:4">
      <c r="A412" s="70">
        <v>2717</v>
      </c>
      <c r="B412" s="70" t="s">
        <v>1360</v>
      </c>
      <c r="C412" s="87" t="s">
        <v>11</v>
      </c>
      <c r="D412" s="72" t="s">
        <v>11</v>
      </c>
    </row>
    <row r="413" spans="1:4">
      <c r="A413" s="70">
        <v>849</v>
      </c>
      <c r="B413" s="70" t="s">
        <v>1361</v>
      </c>
      <c r="C413" s="87" t="s">
        <v>11</v>
      </c>
      <c r="D413" s="72" t="s">
        <v>11</v>
      </c>
    </row>
    <row r="414" spans="1:4">
      <c r="A414" s="70">
        <v>1981</v>
      </c>
      <c r="B414" s="70" t="s">
        <v>1362</v>
      </c>
      <c r="C414" s="87" t="s">
        <v>11</v>
      </c>
      <c r="D414" s="72" t="s">
        <v>20</v>
      </c>
    </row>
    <row r="415" spans="1:4">
      <c r="A415" s="71">
        <v>2886</v>
      </c>
      <c r="B415" s="70" t="s">
        <v>1450</v>
      </c>
      <c r="C415" s="87" t="s">
        <v>11</v>
      </c>
      <c r="D415" s="72" t="s">
        <v>11</v>
      </c>
    </row>
    <row r="416" spans="1:4">
      <c r="A416" s="71">
        <v>3097</v>
      </c>
      <c r="B416" s="70" t="s">
        <v>1557</v>
      </c>
      <c r="C416" s="87" t="s">
        <v>11</v>
      </c>
      <c r="D416" s="72" t="s">
        <v>11</v>
      </c>
    </row>
    <row r="417" spans="1:4">
      <c r="A417" s="70">
        <v>2284</v>
      </c>
      <c r="B417" s="70" t="s">
        <v>1363</v>
      </c>
      <c r="C417" s="87" t="s">
        <v>11</v>
      </c>
      <c r="D417" s="72" t="s">
        <v>11</v>
      </c>
    </row>
    <row r="418" spans="1:4">
      <c r="A418" s="70">
        <v>3036</v>
      </c>
      <c r="B418" s="70" t="s">
        <v>1496</v>
      </c>
      <c r="C418" s="87" t="s">
        <v>11</v>
      </c>
      <c r="D418" s="72" t="s">
        <v>11</v>
      </c>
    </row>
    <row r="419" spans="1:4">
      <c r="A419" s="70">
        <v>2325</v>
      </c>
      <c r="B419" s="70" t="s">
        <v>1365</v>
      </c>
      <c r="C419" s="87" t="s">
        <v>11</v>
      </c>
      <c r="D419" s="72" t="s">
        <v>11</v>
      </c>
    </row>
    <row r="420" spans="1:4">
      <c r="A420" s="70">
        <v>2177</v>
      </c>
      <c r="B420" s="70" t="s">
        <v>1364</v>
      </c>
      <c r="C420" s="87" t="s">
        <v>11</v>
      </c>
      <c r="D420" s="72" t="s">
        <v>11</v>
      </c>
    </row>
    <row r="421" spans="1:4">
      <c r="A421" s="70">
        <v>2609</v>
      </c>
      <c r="B421" s="70" t="s">
        <v>1366</v>
      </c>
      <c r="C421" s="87" t="s">
        <v>11</v>
      </c>
      <c r="D421" s="72" t="s">
        <v>11</v>
      </c>
    </row>
    <row r="422" spans="1:4">
      <c r="A422" s="70">
        <v>2170</v>
      </c>
      <c r="B422" s="70" t="s">
        <v>1367</v>
      </c>
      <c r="C422" s="87" t="s">
        <v>11</v>
      </c>
      <c r="D422" s="72" t="s">
        <v>11</v>
      </c>
    </row>
    <row r="423" spans="1:4">
      <c r="A423" s="70">
        <v>2138</v>
      </c>
      <c r="B423" s="70" t="s">
        <v>1368</v>
      </c>
      <c r="C423" s="87" t="s">
        <v>11</v>
      </c>
      <c r="D423" s="72" t="s">
        <v>11</v>
      </c>
    </row>
    <row r="424" spans="1:4">
      <c r="A424" s="70">
        <v>1433</v>
      </c>
      <c r="B424" s="70" t="s">
        <v>1369</v>
      </c>
      <c r="C424" s="87" t="s">
        <v>11</v>
      </c>
      <c r="D424" s="72" t="s">
        <v>11</v>
      </c>
    </row>
    <row r="425" spans="1:4">
      <c r="A425" s="70">
        <v>2942</v>
      </c>
      <c r="B425" s="70" t="s">
        <v>1370</v>
      </c>
      <c r="C425" s="87" t="s">
        <v>11</v>
      </c>
      <c r="D425" s="72" t="s">
        <v>20</v>
      </c>
    </row>
    <row r="426" spans="1:4">
      <c r="A426" s="70">
        <v>2684</v>
      </c>
      <c r="B426" s="70" t="s">
        <v>1100</v>
      </c>
      <c r="C426" s="87" t="s">
        <v>11</v>
      </c>
      <c r="D426" s="72" t="s">
        <v>11</v>
      </c>
    </row>
    <row r="427" spans="1:4">
      <c r="A427" s="70">
        <v>2134</v>
      </c>
      <c r="B427" s="70" t="s">
        <v>1371</v>
      </c>
      <c r="C427" s="87" t="s">
        <v>11</v>
      </c>
      <c r="D427" s="72" t="s">
        <v>11</v>
      </c>
    </row>
    <row r="428" spans="1:4">
      <c r="A428" s="70">
        <v>1856</v>
      </c>
      <c r="B428" s="70" t="s">
        <v>1453</v>
      </c>
      <c r="C428" s="87" t="s">
        <v>11</v>
      </c>
      <c r="D428" s="72" t="s">
        <v>11</v>
      </c>
    </row>
    <row r="429" spans="1:4">
      <c r="A429" s="70">
        <v>2317</v>
      </c>
      <c r="B429" s="70" t="s">
        <v>1372</v>
      </c>
      <c r="C429" s="87" t="s">
        <v>11</v>
      </c>
      <c r="D429" s="72" t="s">
        <v>11</v>
      </c>
    </row>
    <row r="430" spans="1:4">
      <c r="A430" s="70">
        <v>2567</v>
      </c>
      <c r="B430" s="70" t="s">
        <v>1373</v>
      </c>
      <c r="C430" s="87" t="s">
        <v>11</v>
      </c>
      <c r="D430" s="72" t="s">
        <v>11</v>
      </c>
    </row>
    <row r="431" spans="1:4">
      <c r="A431" s="70">
        <v>2315</v>
      </c>
      <c r="B431" s="70" t="s">
        <v>1374</v>
      </c>
      <c r="C431" s="87" t="s">
        <v>11</v>
      </c>
      <c r="D431" s="72" t="s">
        <v>11</v>
      </c>
    </row>
    <row r="432" spans="1:4">
      <c r="A432" s="70">
        <v>2391</v>
      </c>
      <c r="B432" s="70" t="s">
        <v>1375</v>
      </c>
      <c r="C432" s="87" t="s">
        <v>11</v>
      </c>
      <c r="D432" s="72" t="s">
        <v>11</v>
      </c>
    </row>
    <row r="433" spans="1:4">
      <c r="A433" s="70">
        <v>738</v>
      </c>
      <c r="B433" s="70" t="s">
        <v>1376</v>
      </c>
      <c r="C433" s="87" t="s">
        <v>11</v>
      </c>
      <c r="D433" s="72" t="s">
        <v>20</v>
      </c>
    </row>
    <row r="434" spans="1:4">
      <c r="A434" s="70">
        <v>1992</v>
      </c>
      <c r="B434" s="70" t="s">
        <v>1377</v>
      </c>
      <c r="C434" s="87" t="s">
        <v>11</v>
      </c>
      <c r="D434" s="72" t="s">
        <v>11</v>
      </c>
    </row>
    <row r="435" spans="1:4">
      <c r="A435" s="95">
        <v>3160</v>
      </c>
      <c r="B435" s="56" t="s">
        <v>1668</v>
      </c>
      <c r="C435" s="110" t="s">
        <v>11</v>
      </c>
      <c r="D435" s="72" t="s">
        <v>11</v>
      </c>
    </row>
    <row r="436" spans="1:4">
      <c r="A436" s="70">
        <v>2889</v>
      </c>
      <c r="B436" s="70" t="s">
        <v>1378</v>
      </c>
      <c r="C436" s="87" t="s">
        <v>11</v>
      </c>
      <c r="D436" s="72" t="s">
        <v>11</v>
      </c>
    </row>
    <row r="437" spans="1:4">
      <c r="A437" s="70">
        <v>2919</v>
      </c>
      <c r="B437" s="70" t="s">
        <v>1379</v>
      </c>
      <c r="C437" s="87" t="s">
        <v>11</v>
      </c>
      <c r="D437" s="72" t="s">
        <v>11</v>
      </c>
    </row>
    <row r="438" spans="1:4">
      <c r="A438" s="71">
        <v>3087</v>
      </c>
      <c r="B438" s="70" t="s">
        <v>1547</v>
      </c>
      <c r="C438" s="87" t="s">
        <v>11</v>
      </c>
      <c r="D438" s="72" t="s">
        <v>11</v>
      </c>
    </row>
    <row r="439" spans="1:4">
      <c r="A439" s="70">
        <v>3016</v>
      </c>
      <c r="B439" s="70" t="s">
        <v>1489</v>
      </c>
      <c r="C439" s="87" t="s">
        <v>11</v>
      </c>
      <c r="D439" s="72" t="s">
        <v>11</v>
      </c>
    </row>
    <row r="440" spans="1:4">
      <c r="A440" s="71">
        <v>3094</v>
      </c>
      <c r="B440" s="70" t="s">
        <v>1554</v>
      </c>
      <c r="C440" s="87" t="s">
        <v>11</v>
      </c>
      <c r="D440" s="72" t="s">
        <v>11</v>
      </c>
    </row>
    <row r="441" spans="1:4">
      <c r="A441" s="70">
        <v>2064</v>
      </c>
      <c r="B441" s="70" t="s">
        <v>1457</v>
      </c>
      <c r="C441" s="87" t="s">
        <v>11</v>
      </c>
      <c r="D441" s="72" t="s">
        <v>11</v>
      </c>
    </row>
    <row r="442" spans="1:4">
      <c r="A442" s="70">
        <v>2506</v>
      </c>
      <c r="B442" s="70" t="s">
        <v>1380</v>
      </c>
      <c r="C442" s="87" t="s">
        <v>11</v>
      </c>
      <c r="D442" s="72" t="s">
        <v>11</v>
      </c>
    </row>
    <row r="443" spans="1:4">
      <c r="A443" s="70">
        <v>2772</v>
      </c>
      <c r="B443" s="70" t="s">
        <v>1448</v>
      </c>
      <c r="C443" s="87" t="s">
        <v>11</v>
      </c>
      <c r="D443" s="72" t="s">
        <v>11</v>
      </c>
    </row>
    <row r="444" spans="1:4">
      <c r="A444" s="70">
        <v>2920</v>
      </c>
      <c r="B444" s="70" t="s">
        <v>1094</v>
      </c>
      <c r="C444" s="87" t="s">
        <v>11</v>
      </c>
      <c r="D444" s="72" t="s">
        <v>11</v>
      </c>
    </row>
    <row r="445" spans="1:4">
      <c r="A445" s="70">
        <v>2352</v>
      </c>
      <c r="B445" s="70" t="s">
        <v>1461</v>
      </c>
      <c r="C445" s="87" t="s">
        <v>11</v>
      </c>
      <c r="D445" s="72" t="s">
        <v>11</v>
      </c>
    </row>
    <row r="446" spans="1:4">
      <c r="A446" s="70">
        <v>2638</v>
      </c>
      <c r="B446" s="70" t="s">
        <v>1381</v>
      </c>
      <c r="C446" s="87" t="s">
        <v>11</v>
      </c>
      <c r="D446" s="72" t="s">
        <v>11</v>
      </c>
    </row>
    <row r="447" spans="1:4">
      <c r="A447" s="70">
        <v>2054</v>
      </c>
      <c r="B447" s="70" t="s">
        <v>1382</v>
      </c>
      <c r="C447" s="87" t="s">
        <v>11</v>
      </c>
      <c r="D447" s="72" t="s">
        <v>20</v>
      </c>
    </row>
    <row r="448" spans="1:4">
      <c r="A448" s="70">
        <v>2055</v>
      </c>
      <c r="B448" s="70" t="s">
        <v>1383</v>
      </c>
      <c r="C448" s="87" t="s">
        <v>11</v>
      </c>
      <c r="D448" s="72" t="s">
        <v>11</v>
      </c>
    </row>
    <row r="449" spans="1:4">
      <c r="A449" s="71">
        <v>3140</v>
      </c>
      <c r="B449" s="70" t="s">
        <v>1449</v>
      </c>
      <c r="C449" s="87" t="s">
        <v>11</v>
      </c>
      <c r="D449" s="72" t="s">
        <v>11</v>
      </c>
    </row>
    <row r="450" spans="1:4">
      <c r="A450" s="70">
        <v>2627</v>
      </c>
      <c r="B450" s="70" t="s">
        <v>1466</v>
      </c>
      <c r="C450" s="87" t="s">
        <v>11</v>
      </c>
      <c r="D450" s="72" t="s">
        <v>11</v>
      </c>
    </row>
    <row r="451" spans="1:4">
      <c r="A451" s="71">
        <v>2930</v>
      </c>
      <c r="B451" s="70" t="s">
        <v>1600</v>
      </c>
      <c r="C451" s="87" t="s">
        <v>11</v>
      </c>
      <c r="D451" s="72" t="s">
        <v>11</v>
      </c>
    </row>
    <row r="452" spans="1:4">
      <c r="A452" s="71">
        <v>2735</v>
      </c>
      <c r="B452" s="70" t="s">
        <v>1384</v>
      </c>
      <c r="C452" s="87" t="s">
        <v>11</v>
      </c>
      <c r="D452" s="72" t="s">
        <v>11</v>
      </c>
    </row>
    <row r="453" spans="1:4">
      <c r="A453" s="70">
        <v>2562</v>
      </c>
      <c r="B453" s="70" t="s">
        <v>1385</v>
      </c>
      <c r="C453" s="87" t="s">
        <v>11</v>
      </c>
      <c r="D453" s="72" t="s">
        <v>11</v>
      </c>
    </row>
    <row r="454" spans="1:4">
      <c r="A454" s="70">
        <v>2677</v>
      </c>
      <c r="B454" s="70" t="s">
        <v>1386</v>
      </c>
      <c r="C454" s="87" t="s">
        <v>11</v>
      </c>
      <c r="D454" s="72" t="s">
        <v>11</v>
      </c>
    </row>
    <row r="455" spans="1:4">
      <c r="A455" s="71">
        <v>3110</v>
      </c>
      <c r="B455" s="70" t="s">
        <v>1570</v>
      </c>
      <c r="C455" s="87" t="s">
        <v>11</v>
      </c>
      <c r="D455" s="72" t="s">
        <v>11</v>
      </c>
    </row>
    <row r="456" spans="1:4">
      <c r="A456" s="70">
        <v>2839</v>
      </c>
      <c r="B456" s="70" t="s">
        <v>1387</v>
      </c>
      <c r="C456" s="87" t="s">
        <v>11</v>
      </c>
      <c r="D456" s="72" t="s">
        <v>11</v>
      </c>
    </row>
    <row r="457" spans="1:4">
      <c r="A457" s="95">
        <v>3154</v>
      </c>
      <c r="B457" s="97" t="s">
        <v>1654</v>
      </c>
      <c r="C457" s="110" t="s">
        <v>11</v>
      </c>
      <c r="D457" s="72" t="s">
        <v>11</v>
      </c>
    </row>
    <row r="458" spans="1:4">
      <c r="A458" s="70">
        <v>2245</v>
      </c>
      <c r="B458" s="70" t="s">
        <v>1388</v>
      </c>
      <c r="C458" s="87" t="s">
        <v>11</v>
      </c>
      <c r="D458" s="72" t="s">
        <v>11</v>
      </c>
    </row>
    <row r="459" spans="1:4">
      <c r="A459" s="95">
        <v>3155</v>
      </c>
      <c r="B459" s="97" t="s">
        <v>1655</v>
      </c>
      <c r="C459" s="110" t="s">
        <v>11</v>
      </c>
      <c r="D459" s="72" t="s">
        <v>11</v>
      </c>
    </row>
    <row r="460" spans="1:4">
      <c r="A460" s="70">
        <v>2131</v>
      </c>
      <c r="B460" s="70" t="s">
        <v>1459</v>
      </c>
      <c r="C460" s="87" t="s">
        <v>11</v>
      </c>
      <c r="D460" s="72" t="s">
        <v>11</v>
      </c>
    </row>
    <row r="461" spans="1:4">
      <c r="A461" s="70">
        <v>2498</v>
      </c>
      <c r="B461" s="70" t="s">
        <v>1389</v>
      </c>
      <c r="C461" s="87" t="s">
        <v>11</v>
      </c>
      <c r="D461" s="72" t="s">
        <v>20</v>
      </c>
    </row>
    <row r="462" spans="1:4">
      <c r="A462" s="70">
        <v>2392</v>
      </c>
      <c r="B462" s="70" t="s">
        <v>1390</v>
      </c>
      <c r="C462" s="87" t="s">
        <v>11</v>
      </c>
      <c r="D462" s="72" t="s">
        <v>11</v>
      </c>
    </row>
    <row r="463" spans="1:4">
      <c r="A463" s="71">
        <v>3105</v>
      </c>
      <c r="B463" s="70" t="s">
        <v>1565</v>
      </c>
      <c r="C463" s="87" t="s">
        <v>11</v>
      </c>
      <c r="D463" s="72" t="s">
        <v>11</v>
      </c>
    </row>
    <row r="464" spans="1:4">
      <c r="A464" s="70">
        <v>2950</v>
      </c>
      <c r="B464" s="70" t="s">
        <v>1391</v>
      </c>
      <c r="C464" s="87" t="s">
        <v>11</v>
      </c>
      <c r="D464" s="72" t="s">
        <v>11</v>
      </c>
    </row>
    <row r="465" spans="1:4">
      <c r="A465" s="70">
        <v>2840</v>
      </c>
      <c r="B465" s="70" t="s">
        <v>1392</v>
      </c>
      <c r="C465" s="87" t="s">
        <v>11</v>
      </c>
      <c r="D465" s="72" t="s">
        <v>11</v>
      </c>
    </row>
    <row r="466" spans="1:4">
      <c r="A466" s="70">
        <v>2497</v>
      </c>
      <c r="B466" s="70" t="s">
        <v>1393</v>
      </c>
      <c r="C466" s="87" t="s">
        <v>11</v>
      </c>
      <c r="D466" s="72" t="s">
        <v>11</v>
      </c>
    </row>
    <row r="467" spans="1:4">
      <c r="A467" s="71">
        <v>3083</v>
      </c>
      <c r="B467" s="70" t="s">
        <v>1543</v>
      </c>
      <c r="C467" s="87" t="s">
        <v>11</v>
      </c>
      <c r="D467" s="72" t="s">
        <v>11</v>
      </c>
    </row>
    <row r="468" spans="1:4">
      <c r="A468" s="70">
        <v>2311</v>
      </c>
      <c r="B468" s="70" t="s">
        <v>1394</v>
      </c>
      <c r="C468" s="87" t="s">
        <v>11</v>
      </c>
      <c r="D468" s="72" t="s">
        <v>20</v>
      </c>
    </row>
    <row r="469" spans="1:4">
      <c r="A469" s="70">
        <v>2021</v>
      </c>
      <c r="B469" s="70" t="s">
        <v>1395</v>
      </c>
      <c r="C469" s="87" t="s">
        <v>11</v>
      </c>
      <c r="D469" s="72" t="s">
        <v>20</v>
      </c>
    </row>
    <row r="470" spans="1:4">
      <c r="A470" s="70">
        <v>2471</v>
      </c>
      <c r="B470" s="70" t="s">
        <v>1396</v>
      </c>
      <c r="C470" s="87" t="s">
        <v>11</v>
      </c>
      <c r="D470" s="72" t="s">
        <v>11</v>
      </c>
    </row>
    <row r="471" spans="1:4">
      <c r="A471" s="70">
        <v>2907</v>
      </c>
      <c r="B471" s="70" t="s">
        <v>1397</v>
      </c>
      <c r="C471" s="87" t="s">
        <v>11</v>
      </c>
      <c r="D471" s="72" t="s">
        <v>11</v>
      </c>
    </row>
    <row r="472" spans="1:4">
      <c r="A472" s="70">
        <v>2062</v>
      </c>
      <c r="B472" s="70" t="s">
        <v>1398</v>
      </c>
      <c r="C472" s="87" t="s">
        <v>11</v>
      </c>
      <c r="D472" s="72" t="s">
        <v>11</v>
      </c>
    </row>
    <row r="473" spans="1:4">
      <c r="A473" s="70">
        <v>2199</v>
      </c>
      <c r="B473" s="70" t="s">
        <v>1399</v>
      </c>
      <c r="C473" s="87" t="s">
        <v>11</v>
      </c>
      <c r="D473" s="72" t="s">
        <v>11</v>
      </c>
    </row>
    <row r="474" spans="1:4">
      <c r="A474" s="70">
        <v>2397</v>
      </c>
      <c r="B474" s="70" t="s">
        <v>1400</v>
      </c>
      <c r="C474" s="87" t="s">
        <v>11</v>
      </c>
      <c r="D474" s="72" t="s">
        <v>11</v>
      </c>
    </row>
    <row r="475" spans="1:4">
      <c r="A475" s="70">
        <v>2290</v>
      </c>
      <c r="B475" s="70" t="s">
        <v>1401</v>
      </c>
      <c r="C475" s="87" t="s">
        <v>11</v>
      </c>
      <c r="D475" s="72" t="s">
        <v>11</v>
      </c>
    </row>
    <row r="476" spans="1:4">
      <c r="A476" s="70">
        <v>2910</v>
      </c>
      <c r="B476" s="70" t="s">
        <v>1402</v>
      </c>
      <c r="C476" s="87" t="s">
        <v>11</v>
      </c>
      <c r="D476" s="72" t="s">
        <v>11</v>
      </c>
    </row>
    <row r="477" spans="1:4">
      <c r="A477" s="70">
        <v>2777</v>
      </c>
      <c r="B477" s="70" t="s">
        <v>1403</v>
      </c>
      <c r="C477" s="87" t="s">
        <v>11</v>
      </c>
      <c r="D477" s="72" t="s">
        <v>20</v>
      </c>
    </row>
    <row r="478" spans="1:4">
      <c r="A478" s="70">
        <v>2628</v>
      </c>
      <c r="B478" s="70" t="s">
        <v>1404</v>
      </c>
      <c r="C478" s="87" t="s">
        <v>11</v>
      </c>
      <c r="D478" s="72" t="s">
        <v>11</v>
      </c>
    </row>
    <row r="479" spans="1:4">
      <c r="A479" s="70">
        <v>2699</v>
      </c>
      <c r="B479" s="70" t="s">
        <v>1405</v>
      </c>
      <c r="C479" s="87" t="s">
        <v>11</v>
      </c>
      <c r="D479" s="72" t="s">
        <v>11</v>
      </c>
    </row>
    <row r="480" spans="1:4">
      <c r="A480" s="70">
        <v>2102</v>
      </c>
      <c r="B480" s="70" t="s">
        <v>1406</v>
      </c>
      <c r="C480" s="87" t="s">
        <v>11</v>
      </c>
      <c r="D480" s="72" t="s">
        <v>11</v>
      </c>
    </row>
    <row r="481" spans="1:4">
      <c r="A481" s="71">
        <v>3127</v>
      </c>
      <c r="B481" s="70" t="s">
        <v>1587</v>
      </c>
      <c r="C481" s="87" t="s">
        <v>11</v>
      </c>
      <c r="D481" s="72" t="s">
        <v>11</v>
      </c>
    </row>
    <row r="482" spans="1:4">
      <c r="A482" s="70">
        <v>1042</v>
      </c>
      <c r="B482" s="70" t="s">
        <v>1407</v>
      </c>
      <c r="C482" s="87" t="s">
        <v>11</v>
      </c>
      <c r="D482" s="72" t="s">
        <v>20</v>
      </c>
    </row>
    <row r="483" spans="1:4">
      <c r="A483" s="70">
        <v>2445</v>
      </c>
      <c r="B483" s="70" t="s">
        <v>1408</v>
      </c>
      <c r="C483" s="87" t="s">
        <v>11</v>
      </c>
      <c r="D483" s="72" t="s">
        <v>11</v>
      </c>
    </row>
    <row r="484" spans="1:4">
      <c r="A484" s="70">
        <v>2725</v>
      </c>
      <c r="B484" s="70" t="s">
        <v>1409</v>
      </c>
      <c r="C484" s="87" t="s">
        <v>11</v>
      </c>
      <c r="D484" s="72" t="s">
        <v>11</v>
      </c>
    </row>
    <row r="485" spans="1:4">
      <c r="A485" s="70">
        <v>2875</v>
      </c>
      <c r="B485" s="70" t="s">
        <v>1091</v>
      </c>
      <c r="C485" s="87" t="s">
        <v>11</v>
      </c>
      <c r="D485" s="72" t="s">
        <v>11</v>
      </c>
    </row>
    <row r="486" spans="1:4">
      <c r="A486" s="71">
        <v>2008</v>
      </c>
      <c r="B486" s="70" t="s">
        <v>1455</v>
      </c>
      <c r="C486" s="87" t="s">
        <v>11</v>
      </c>
      <c r="D486" s="72" t="s">
        <v>11</v>
      </c>
    </row>
    <row r="487" spans="1:4">
      <c r="A487" s="70">
        <v>2928</v>
      </c>
      <c r="B487" s="70" t="s">
        <v>1410</v>
      </c>
      <c r="C487" s="87" t="s">
        <v>11</v>
      </c>
      <c r="D487" s="72" t="s">
        <v>11</v>
      </c>
    </row>
    <row r="488" spans="1:4">
      <c r="A488" s="70">
        <v>2003</v>
      </c>
      <c r="B488" s="70" t="s">
        <v>145</v>
      </c>
      <c r="C488" s="87" t="s">
        <v>11</v>
      </c>
      <c r="D488" s="72" t="s">
        <v>11</v>
      </c>
    </row>
    <row r="489" spans="1:4">
      <c r="A489" s="70">
        <v>2082</v>
      </c>
      <c r="B489" s="70" t="s">
        <v>1411</v>
      </c>
      <c r="C489" s="87" t="s">
        <v>11</v>
      </c>
      <c r="D489" s="72" t="s">
        <v>11</v>
      </c>
    </row>
    <row r="490" spans="1:4">
      <c r="A490" s="70">
        <v>2922</v>
      </c>
      <c r="B490" s="70" t="s">
        <v>1412</v>
      </c>
      <c r="C490" s="87" t="s">
        <v>11</v>
      </c>
      <c r="D490" s="72" t="s">
        <v>11</v>
      </c>
    </row>
    <row r="491" spans="1:4">
      <c r="A491" s="70">
        <v>2186</v>
      </c>
      <c r="B491" s="70" t="s">
        <v>1413</v>
      </c>
      <c r="C491" s="87" t="s">
        <v>11</v>
      </c>
      <c r="D491" s="72" t="s">
        <v>11</v>
      </c>
    </row>
    <row r="492" spans="1:4">
      <c r="A492" s="70">
        <v>2456</v>
      </c>
      <c r="B492" s="70" t="s">
        <v>1414</v>
      </c>
      <c r="C492" s="87" t="s">
        <v>11</v>
      </c>
      <c r="D492" s="72" t="s">
        <v>11</v>
      </c>
    </row>
    <row r="493" spans="1:4">
      <c r="A493" s="70">
        <v>2000</v>
      </c>
      <c r="B493" s="70" t="s">
        <v>1415</v>
      </c>
      <c r="C493" s="87" t="s">
        <v>11</v>
      </c>
      <c r="D493" s="72" t="s">
        <v>11</v>
      </c>
    </row>
    <row r="494" spans="1:4">
      <c r="A494" s="70">
        <v>2416</v>
      </c>
      <c r="B494" s="70" t="s">
        <v>1416</v>
      </c>
      <c r="C494" s="87" t="s">
        <v>11</v>
      </c>
      <c r="D494" s="72" t="s">
        <v>11</v>
      </c>
    </row>
    <row r="495" spans="1:4">
      <c r="A495" s="71">
        <v>3106</v>
      </c>
      <c r="B495" s="70" t="s">
        <v>1566</v>
      </c>
      <c r="C495" s="87" t="s">
        <v>11</v>
      </c>
      <c r="D495" s="72" t="s">
        <v>11</v>
      </c>
    </row>
    <row r="496" spans="1:4">
      <c r="A496" s="70">
        <v>2710</v>
      </c>
      <c r="B496" s="70" t="s">
        <v>1417</v>
      </c>
      <c r="C496" s="87" t="s">
        <v>11</v>
      </c>
      <c r="D496" s="72" t="s">
        <v>11</v>
      </c>
    </row>
    <row r="497" spans="1:4">
      <c r="A497" s="70">
        <v>2482</v>
      </c>
      <c r="B497" s="70" t="s">
        <v>1418</v>
      </c>
      <c r="C497" s="87" t="s">
        <v>11</v>
      </c>
      <c r="D497" s="72" t="s">
        <v>11</v>
      </c>
    </row>
    <row r="498" spans="1:4">
      <c r="A498" s="71">
        <v>3143</v>
      </c>
      <c r="B498" s="70" t="s">
        <v>1601</v>
      </c>
      <c r="C498" s="87" t="s">
        <v>11</v>
      </c>
      <c r="D498" s="72" t="s">
        <v>11</v>
      </c>
    </row>
    <row r="499" spans="1:4">
      <c r="A499" s="70">
        <v>2489</v>
      </c>
      <c r="B499" s="70" t="s">
        <v>1102</v>
      </c>
      <c r="C499" s="87" t="s">
        <v>11</v>
      </c>
      <c r="D499" s="72" t="s">
        <v>11</v>
      </c>
    </row>
    <row r="500" spans="1:4">
      <c r="A500" s="71">
        <v>3077</v>
      </c>
      <c r="B500" s="70" t="s">
        <v>1537</v>
      </c>
      <c r="C500" s="87" t="s">
        <v>11</v>
      </c>
      <c r="D500" s="72" t="s">
        <v>11</v>
      </c>
    </row>
    <row r="501" spans="1:4">
      <c r="A501" s="70">
        <v>2954</v>
      </c>
      <c r="B501" s="70" t="s">
        <v>1419</v>
      </c>
      <c r="C501" s="87" t="s">
        <v>11</v>
      </c>
      <c r="D501" s="72" t="s">
        <v>11</v>
      </c>
    </row>
    <row r="502" spans="1:4">
      <c r="A502" s="70">
        <v>2673</v>
      </c>
      <c r="B502" s="70" t="s">
        <v>1420</v>
      </c>
      <c r="C502" s="87" t="s">
        <v>11</v>
      </c>
      <c r="D502" s="72" t="s">
        <v>11</v>
      </c>
    </row>
    <row r="503" spans="1:4">
      <c r="A503" s="71">
        <v>3079</v>
      </c>
      <c r="B503" s="70" t="s">
        <v>1539</v>
      </c>
      <c r="C503" s="87" t="s">
        <v>11</v>
      </c>
      <c r="D503" s="72" t="s">
        <v>11</v>
      </c>
    </row>
    <row r="504" spans="1:4">
      <c r="A504" s="71">
        <v>3116</v>
      </c>
      <c r="B504" s="70" t="s">
        <v>1576</v>
      </c>
      <c r="C504" s="87" t="s">
        <v>11</v>
      </c>
      <c r="D504" s="72" t="s">
        <v>11</v>
      </c>
    </row>
    <row r="505" spans="1:4">
      <c r="A505" s="70">
        <v>3026</v>
      </c>
      <c r="B505" s="70" t="s">
        <v>1491</v>
      </c>
      <c r="C505" s="87" t="s">
        <v>11</v>
      </c>
      <c r="D505" s="72" t="s">
        <v>11</v>
      </c>
    </row>
    <row r="506" spans="1:4">
      <c r="A506" s="70">
        <v>2424</v>
      </c>
      <c r="B506" s="70" t="s">
        <v>1421</v>
      </c>
      <c r="C506" s="87" t="s">
        <v>11</v>
      </c>
      <c r="D506" s="72" t="s">
        <v>11</v>
      </c>
    </row>
    <row r="507" spans="1:4">
      <c r="A507" s="71">
        <v>3053</v>
      </c>
      <c r="B507" s="70" t="s">
        <v>1513</v>
      </c>
      <c r="C507" s="87" t="s">
        <v>11</v>
      </c>
      <c r="D507" s="72" t="s">
        <v>11</v>
      </c>
    </row>
    <row r="508" spans="1:4">
      <c r="A508" s="95">
        <v>3148</v>
      </c>
      <c r="B508" s="56" t="s">
        <v>1629</v>
      </c>
      <c r="C508" s="87" t="s">
        <v>11</v>
      </c>
      <c r="D508" s="72" t="s">
        <v>11</v>
      </c>
    </row>
    <row r="509" spans="1:4">
      <c r="A509" s="71">
        <v>3060</v>
      </c>
      <c r="B509" s="70" t="s">
        <v>1520</v>
      </c>
      <c r="C509" s="87" t="s">
        <v>11</v>
      </c>
      <c r="D509" s="72" t="s">
        <v>11</v>
      </c>
    </row>
    <row r="510" spans="1:4">
      <c r="A510" s="55">
        <v>3162</v>
      </c>
      <c r="B510" s="97" t="s">
        <v>1709</v>
      </c>
      <c r="C510" s="62" t="s">
        <v>11</v>
      </c>
      <c r="D510" s="72" t="s">
        <v>11</v>
      </c>
    </row>
    <row r="511" spans="1:4">
      <c r="A511" s="70">
        <v>2015</v>
      </c>
      <c r="B511" s="70" t="s">
        <v>1422</v>
      </c>
      <c r="C511" s="87" t="s">
        <v>11</v>
      </c>
      <c r="D511" s="72" t="s">
        <v>11</v>
      </c>
    </row>
    <row r="512" spans="1:4">
      <c r="A512" s="70">
        <v>2982</v>
      </c>
      <c r="B512" s="70" t="s">
        <v>1099</v>
      </c>
      <c r="C512" s="87" t="s">
        <v>11</v>
      </c>
      <c r="D512" s="72" t="s">
        <v>11</v>
      </c>
    </row>
    <row r="513" spans="1:4">
      <c r="A513" s="70">
        <v>2349</v>
      </c>
      <c r="B513" s="70" t="s">
        <v>1423</v>
      </c>
      <c r="C513" s="87" t="s">
        <v>11</v>
      </c>
      <c r="D513" s="72" t="s">
        <v>11</v>
      </c>
    </row>
    <row r="514" spans="1:4">
      <c r="A514" s="70">
        <v>2316</v>
      </c>
      <c r="B514" s="70" t="s">
        <v>1424</v>
      </c>
      <c r="C514" s="87" t="s">
        <v>11</v>
      </c>
      <c r="D514" s="72" t="s">
        <v>11</v>
      </c>
    </row>
    <row r="515" spans="1:4">
      <c r="A515" s="70">
        <v>2996</v>
      </c>
      <c r="B515" s="70" t="s">
        <v>1479</v>
      </c>
      <c r="C515" s="87" t="s">
        <v>11</v>
      </c>
      <c r="D515" s="72" t="s">
        <v>11</v>
      </c>
    </row>
    <row r="516" spans="1:4">
      <c r="A516" s="71">
        <v>2034</v>
      </c>
      <c r="B516" s="70" t="s">
        <v>1456</v>
      </c>
      <c r="C516" s="87" t="s">
        <v>11</v>
      </c>
      <c r="D516" s="72" t="s">
        <v>11</v>
      </c>
    </row>
    <row r="517" spans="1:4">
      <c r="A517" s="70">
        <v>2310</v>
      </c>
      <c r="B517" s="70" t="s">
        <v>1425</v>
      </c>
      <c r="C517" s="87" t="s">
        <v>11</v>
      </c>
      <c r="D517" s="72" t="s">
        <v>11</v>
      </c>
    </row>
    <row r="518" spans="1:4">
      <c r="A518" s="70">
        <v>2934</v>
      </c>
      <c r="B518" s="70" t="s">
        <v>1426</v>
      </c>
      <c r="C518" s="87" t="s">
        <v>11</v>
      </c>
      <c r="D518" s="72" t="s">
        <v>11</v>
      </c>
    </row>
    <row r="519" spans="1:4">
      <c r="A519" s="70">
        <v>2736</v>
      </c>
      <c r="B519" s="70" t="s">
        <v>1427</v>
      </c>
      <c r="C519" s="87" t="s">
        <v>11</v>
      </c>
      <c r="D519" s="72" t="s">
        <v>11</v>
      </c>
    </row>
    <row r="520" spans="1:4">
      <c r="A520" s="70">
        <v>3007</v>
      </c>
      <c r="B520" s="70" t="s">
        <v>1484</v>
      </c>
      <c r="C520" s="87" t="s">
        <v>11</v>
      </c>
      <c r="D520" s="72" t="s">
        <v>11</v>
      </c>
    </row>
    <row r="521" spans="1:4">
      <c r="A521" s="70">
        <v>2502</v>
      </c>
      <c r="B521" s="70" t="s">
        <v>1428</v>
      </c>
      <c r="C521" s="87" t="s">
        <v>11</v>
      </c>
      <c r="D521" s="72" t="s">
        <v>11</v>
      </c>
    </row>
    <row r="522" spans="1:4">
      <c r="A522" s="70">
        <v>2760</v>
      </c>
      <c r="B522" s="70" t="s">
        <v>1429</v>
      </c>
      <c r="C522" s="87" t="s">
        <v>11</v>
      </c>
      <c r="D522" s="72" t="s">
        <v>11</v>
      </c>
    </row>
    <row r="523" spans="1:4">
      <c r="A523" s="70">
        <v>2616</v>
      </c>
      <c r="B523" s="70" t="s">
        <v>1430</v>
      </c>
      <c r="C523" s="87" t="s">
        <v>11</v>
      </c>
      <c r="D523" s="72" t="s">
        <v>11</v>
      </c>
    </row>
    <row r="524" spans="1:4">
      <c r="A524" s="70">
        <v>2564</v>
      </c>
      <c r="B524" s="70" t="s">
        <v>1431</v>
      </c>
      <c r="C524" s="94" t="s">
        <v>11</v>
      </c>
      <c r="D524" s="72" t="s">
        <v>11</v>
      </c>
    </row>
    <row r="525" spans="1:4">
      <c r="A525" s="71">
        <v>3111</v>
      </c>
      <c r="B525" s="70" t="s">
        <v>1571</v>
      </c>
      <c r="C525" s="94" t="s">
        <v>11</v>
      </c>
      <c r="D525" s="72" t="s">
        <v>11</v>
      </c>
    </row>
    <row r="526" spans="1:4">
      <c r="A526" s="71">
        <v>3117</v>
      </c>
      <c r="B526" s="70" t="s">
        <v>1577</v>
      </c>
      <c r="C526" s="94" t="s">
        <v>11</v>
      </c>
      <c r="D526" s="72" t="s">
        <v>11</v>
      </c>
    </row>
    <row r="527" spans="1:4">
      <c r="A527" s="70">
        <v>3014</v>
      </c>
      <c r="B527" s="70" t="s">
        <v>1487</v>
      </c>
      <c r="C527" s="94" t="s">
        <v>11</v>
      </c>
      <c r="D527" s="72" t="s">
        <v>11</v>
      </c>
    </row>
    <row r="528" spans="1:4">
      <c r="A528" s="70">
        <v>2828</v>
      </c>
      <c r="B528" s="70" t="s">
        <v>1432</v>
      </c>
      <c r="C528" s="94" t="s">
        <v>11</v>
      </c>
      <c r="D528" s="72" t="s">
        <v>11</v>
      </c>
    </row>
    <row r="529" spans="1:4">
      <c r="A529" s="70">
        <v>2868</v>
      </c>
      <c r="B529" s="70" t="s">
        <v>1433</v>
      </c>
      <c r="C529" s="87" t="s">
        <v>11</v>
      </c>
      <c r="D529" s="72" t="s">
        <v>11</v>
      </c>
    </row>
    <row r="530" spans="1:4">
      <c r="A530" s="70">
        <v>2273</v>
      </c>
      <c r="B530" s="70" t="s">
        <v>1435</v>
      </c>
      <c r="C530" s="87" t="s">
        <v>11</v>
      </c>
      <c r="D530" s="72" t="s">
        <v>11</v>
      </c>
    </row>
    <row r="531" spans="1:4">
      <c r="A531" s="70">
        <v>2615</v>
      </c>
      <c r="B531" s="70" t="s">
        <v>1436</v>
      </c>
      <c r="C531" s="87" t="s">
        <v>11</v>
      </c>
      <c r="D531" s="72" t="s">
        <v>11</v>
      </c>
    </row>
    <row r="532" spans="1:4">
      <c r="A532" s="70">
        <v>2263</v>
      </c>
      <c r="B532" s="70" t="s">
        <v>1434</v>
      </c>
      <c r="C532" s="87" t="s">
        <v>11</v>
      </c>
      <c r="D532" s="72" t="s">
        <v>11</v>
      </c>
    </row>
    <row r="533" spans="1:4">
      <c r="A533" s="70">
        <v>2798</v>
      </c>
      <c r="B533" s="70" t="s">
        <v>1437</v>
      </c>
      <c r="C533" s="87" t="s">
        <v>11</v>
      </c>
      <c r="D533" s="72" t="s">
        <v>11</v>
      </c>
    </row>
    <row r="534" spans="1:4">
      <c r="A534" s="70">
        <v>2754</v>
      </c>
      <c r="B534" s="70" t="s">
        <v>1438</v>
      </c>
      <c r="C534" s="87" t="s">
        <v>11</v>
      </c>
      <c r="D534" s="72" t="s">
        <v>11</v>
      </c>
    </row>
    <row r="535" spans="1:4">
      <c r="A535" s="71">
        <v>3090</v>
      </c>
      <c r="B535" s="70" t="s">
        <v>1550</v>
      </c>
      <c r="C535" s="87" t="s">
        <v>11</v>
      </c>
      <c r="D535" s="72" t="s">
        <v>11</v>
      </c>
    </row>
    <row r="536" spans="1:4">
      <c r="A536" s="70">
        <v>1906</v>
      </c>
      <c r="B536" s="70" t="s">
        <v>1454</v>
      </c>
      <c r="C536" s="87" t="s">
        <v>11</v>
      </c>
      <c r="D536" s="72" t="s">
        <v>11</v>
      </c>
    </row>
    <row r="537" spans="1:4">
      <c r="A537" s="70">
        <v>2308</v>
      </c>
      <c r="B537" s="70" t="s">
        <v>1460</v>
      </c>
      <c r="C537" s="87" t="s">
        <v>11</v>
      </c>
      <c r="D537" s="111" t="s">
        <v>11</v>
      </c>
    </row>
    <row r="538" spans="1:4">
      <c r="A538" s="70">
        <v>2959</v>
      </c>
      <c r="B538" s="70" t="s">
        <v>1440</v>
      </c>
      <c r="C538" s="87" t="s">
        <v>11</v>
      </c>
      <c r="D538" s="111" t="s">
        <v>11</v>
      </c>
    </row>
    <row r="539" spans="1:4">
      <c r="A539" s="70">
        <v>2960</v>
      </c>
      <c r="B539" s="70" t="s">
        <v>1441</v>
      </c>
      <c r="C539" s="87" t="s">
        <v>11</v>
      </c>
      <c r="D539" s="111" t="s">
        <v>11</v>
      </c>
    </row>
    <row r="540" spans="1:4">
      <c r="A540" s="70">
        <v>2796</v>
      </c>
      <c r="B540" s="70" t="s">
        <v>1439</v>
      </c>
      <c r="C540" s="87" t="s">
        <v>11</v>
      </c>
      <c r="D540" s="111" t="s">
        <v>11</v>
      </c>
    </row>
    <row r="541" spans="1:4">
      <c r="A541" s="70">
        <v>2070</v>
      </c>
      <c r="B541" s="70" t="s">
        <v>1442</v>
      </c>
      <c r="C541" s="87" t="s">
        <v>11</v>
      </c>
      <c r="D541" s="111" t="s">
        <v>11</v>
      </c>
    </row>
    <row r="542" spans="1:4">
      <c r="A542" s="121">
        <v>2330</v>
      </c>
      <c r="B542" s="118" t="s">
        <v>1443</v>
      </c>
      <c r="C542" s="122" t="s">
        <v>11</v>
      </c>
      <c r="D542" s="120" t="s">
        <v>11</v>
      </c>
    </row>
    <row r="543" spans="1:4">
      <c r="A543" s="70">
        <v>2671</v>
      </c>
      <c r="B543" s="70" t="s">
        <v>1444</v>
      </c>
      <c r="C543" s="87" t="s">
        <v>11</v>
      </c>
      <c r="D543" s="120" t="s">
        <v>11</v>
      </c>
    </row>
    <row r="544" spans="1:4">
      <c r="C544" s="116"/>
    </row>
  </sheetData>
  <autoFilter ref="A1:D542" xr:uid="{00000000-0009-0000-0000-000005000000}">
    <sortState xmlns:xlrd2="http://schemas.microsoft.com/office/spreadsheetml/2017/richdata2" ref="A2:D531">
      <sortCondition ref="A1:A530"/>
    </sortState>
  </autoFilter>
  <sortState xmlns:xlrd2="http://schemas.microsoft.com/office/spreadsheetml/2017/richdata2" ref="A2:D543">
    <sortCondition ref="B2:B543"/>
  </sortState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B1:I235"/>
  <sheetViews>
    <sheetView showGridLines="0" zoomScaleNormal="100" workbookViewId="0">
      <selection activeCell="E2" sqref="E2"/>
    </sheetView>
  </sheetViews>
  <sheetFormatPr baseColWidth="10" defaultColWidth="11" defaultRowHeight="15"/>
  <cols>
    <col min="1" max="1" width="11" style="98"/>
    <col min="2" max="2" width="33.42578125" style="98" customWidth="1"/>
    <col min="3" max="3" width="8.5703125" style="98" customWidth="1"/>
    <col min="4" max="4" width="11" style="98" customWidth="1"/>
    <col min="5" max="5" width="2.28515625" style="98" customWidth="1"/>
    <col min="6" max="16384" width="11" style="98"/>
  </cols>
  <sheetData>
    <row r="1" spans="2:6">
      <c r="D1" s="2" t="s">
        <v>1071</v>
      </c>
    </row>
    <row r="2" spans="2:6">
      <c r="D2" s="124">
        <v>177</v>
      </c>
      <c r="E2" s="117" t="s">
        <v>824</v>
      </c>
    </row>
    <row r="3" spans="2:6">
      <c r="D3" s="124"/>
    </row>
    <row r="4" spans="2:6" ht="6.75" customHeight="1">
      <c r="D4" s="3" t="s">
        <v>1451</v>
      </c>
    </row>
    <row r="5" spans="2:6">
      <c r="B5" s="4" t="s">
        <v>1072</v>
      </c>
    </row>
    <row r="6" spans="2:6" ht="15.75" customHeight="1">
      <c r="B6" s="4" t="s">
        <v>1073</v>
      </c>
    </row>
    <row r="7" spans="2:6" ht="16.5" customHeight="1">
      <c r="B7" s="4" t="s">
        <v>1074</v>
      </c>
      <c r="E7" s="99"/>
    </row>
    <row r="8" spans="2:6" ht="15" customHeight="1">
      <c r="B8" s="4" t="s">
        <v>1075</v>
      </c>
    </row>
    <row r="9" spans="2:6">
      <c r="B9" s="4" t="s">
        <v>1076</v>
      </c>
      <c r="E9" s="99"/>
    </row>
    <row r="10" spans="2:6">
      <c r="B10" s="4" t="s">
        <v>1077</v>
      </c>
    </row>
    <row r="11" spans="2:6" ht="9.75" customHeight="1">
      <c r="B11" s="4" t="s">
        <v>1078</v>
      </c>
    </row>
    <row r="12" spans="2:6" ht="10.5" customHeight="1">
      <c r="D12" s="100"/>
    </row>
    <row r="13" spans="2:6">
      <c r="B13" s="101" t="str">
        <f>CONCATENATE("RECIBO Nº ",D2)</f>
        <v>RECIBO Nº 177</v>
      </c>
      <c r="D13" s="102"/>
    </row>
    <row r="14" spans="2:6">
      <c r="B14" s="99"/>
    </row>
    <row r="15" spans="2:6">
      <c r="B15" s="99" t="s">
        <v>1079</v>
      </c>
    </row>
    <row r="16" spans="2:6">
      <c r="B16" s="4" t="str">
        <f>IFERROR(LOOKUP(D2,'DIARIO 2026'!A:A,'DIARIO 2026'!D:D)," ")</f>
        <v>MOYANO REDONDO , JULIO</v>
      </c>
      <c r="E16" s="100"/>
      <c r="F16" s="100"/>
    </row>
    <row r="17" spans="2:6">
      <c r="B17" s="4" t="str">
        <f>CONCATENATE("la cantidad de ",LOOKUP(D2,'DIARIO 2026'!A:A,'DIARIO 2026'!H:H)," Euros")</f>
        <v>la cantidad de 20 Euros</v>
      </c>
    </row>
    <row r="18" spans="2:6">
      <c r="B18" s="99" t="s">
        <v>1086</v>
      </c>
    </row>
    <row r="19" spans="2:6">
      <c r="B19" s="4" t="str">
        <f>LOOKUP(D2,'DIARIO 2026'!A:A,'DIARIO 2026'!F:F)</f>
        <v>VISITA A FONELAS</v>
      </c>
    </row>
    <row r="20" spans="2:6">
      <c r="B20" s="103">
        <f>IFERROR(LOOKUP(D2,'DIARIO 2026'!A:A,'DIARIO 2026'!B:B)," ")</f>
        <v>46070</v>
      </c>
      <c r="C20" s="104"/>
      <c r="E20" s="105"/>
      <c r="F20" s="105"/>
    </row>
    <row r="22" spans="2:6">
      <c r="B22" s="106"/>
    </row>
    <row r="235" spans="9:9">
      <c r="I235" s="98">
        <f>+RECIBO!D2232</f>
        <v>0</v>
      </c>
    </row>
  </sheetData>
  <mergeCells count="1">
    <mergeCell ref="D2:D3"/>
  </mergeCells>
  <pageMargins left="0.23" right="0.06" top="0.17" bottom="125.97" header="7.0000000000000007E-2" footer="125.96"/>
  <pageSetup scale="62" orientation="portrait" horizontalDpi="300" verticalDpi="300" r:id="rId1"/>
  <colBreaks count="1" manualBreakCount="1">
    <brk id="3" max="21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D57"/>
  <sheetViews>
    <sheetView workbookViewId="0">
      <pane ySplit="1" topLeftCell="A7" activePane="bottomLeft" state="frozen"/>
      <selection pane="bottomLeft" activeCell="C25" sqref="C24:C25"/>
    </sheetView>
  </sheetViews>
  <sheetFormatPr baseColWidth="10" defaultColWidth="11.42578125" defaultRowHeight="14.25"/>
  <cols>
    <col min="1" max="1" width="11.42578125" style="19"/>
    <col min="2" max="2" width="33.7109375" style="108" customWidth="1"/>
    <col min="3" max="4" width="11.42578125" style="76"/>
    <col min="5" max="16384" width="11.42578125" style="17"/>
  </cols>
  <sheetData>
    <row r="1" spans="1:4" ht="15">
      <c r="A1" s="60" t="s">
        <v>1039</v>
      </c>
      <c r="B1" s="107" t="s">
        <v>5</v>
      </c>
      <c r="C1" s="75" t="s">
        <v>1605</v>
      </c>
      <c r="D1" s="85" t="s">
        <v>1620</v>
      </c>
    </row>
    <row r="2" spans="1:4" ht="15">
      <c r="A2" s="20">
        <v>1</v>
      </c>
      <c r="B2" s="108" t="s">
        <v>1040</v>
      </c>
      <c r="C2" s="76">
        <v>30</v>
      </c>
    </row>
    <row r="3" spans="1:4" ht="15">
      <c r="A3" s="20">
        <v>2</v>
      </c>
      <c r="B3" s="108" t="s">
        <v>1085</v>
      </c>
      <c r="C3" s="76">
        <v>30</v>
      </c>
    </row>
    <row r="4" spans="1:4" ht="15">
      <c r="A4" s="20">
        <v>3</v>
      </c>
    </row>
    <row r="5" spans="1:4" ht="15">
      <c r="A5" s="20">
        <v>4</v>
      </c>
      <c r="B5" s="108" t="s">
        <v>1041</v>
      </c>
    </row>
    <row r="6" spans="1:4" ht="15">
      <c r="A6" s="20">
        <v>5</v>
      </c>
    </row>
    <row r="7" spans="1:4" ht="15">
      <c r="A7" s="20">
        <v>6</v>
      </c>
    </row>
    <row r="8" spans="1:4" ht="15">
      <c r="A8" s="20">
        <v>7</v>
      </c>
    </row>
    <row r="9" spans="1:4" ht="15">
      <c r="A9" s="20">
        <v>8</v>
      </c>
    </row>
    <row r="10" spans="1:4" ht="15">
      <c r="A10" s="20">
        <v>9</v>
      </c>
    </row>
    <row r="11" spans="1:4" ht="15">
      <c r="A11" s="20">
        <v>10</v>
      </c>
      <c r="B11" s="108" t="s">
        <v>1657</v>
      </c>
      <c r="C11" s="76">
        <v>22</v>
      </c>
      <c r="D11" s="76">
        <v>27</v>
      </c>
    </row>
    <row r="12" spans="1:4" ht="15">
      <c r="A12" s="20">
        <v>11</v>
      </c>
      <c r="B12" s="108" t="s">
        <v>1621</v>
      </c>
      <c r="C12" s="76">
        <v>25</v>
      </c>
      <c r="D12" s="76">
        <v>30</v>
      </c>
    </row>
    <row r="13" spans="1:4" ht="15">
      <c r="A13" s="20">
        <v>12</v>
      </c>
      <c r="B13" s="108" t="s">
        <v>1633</v>
      </c>
      <c r="C13" s="76">
        <v>3</v>
      </c>
      <c r="D13" s="76">
        <v>3</v>
      </c>
    </row>
    <row r="14" spans="1:4" ht="15">
      <c r="A14" s="20">
        <v>13</v>
      </c>
      <c r="B14" s="108" t="s">
        <v>1656</v>
      </c>
      <c r="C14" s="76">
        <v>0</v>
      </c>
      <c r="D14" s="76">
        <v>0</v>
      </c>
    </row>
    <row r="15" spans="1:4" ht="15">
      <c r="A15" s="20">
        <v>14</v>
      </c>
      <c r="B15" s="108" t="s">
        <v>1658</v>
      </c>
      <c r="C15" s="76">
        <v>5</v>
      </c>
      <c r="D15" s="76">
        <v>6</v>
      </c>
    </row>
    <row r="16" spans="1:4" ht="15">
      <c r="A16" s="20">
        <v>15</v>
      </c>
      <c r="B16" s="108" t="s">
        <v>1659</v>
      </c>
      <c r="C16" s="76">
        <v>5</v>
      </c>
      <c r="D16" s="76">
        <v>6</v>
      </c>
    </row>
    <row r="17" spans="1:4" ht="15">
      <c r="A17" s="20">
        <v>16</v>
      </c>
      <c r="B17" s="108" t="s">
        <v>1672</v>
      </c>
      <c r="C17" s="76">
        <v>7</v>
      </c>
      <c r="D17" s="76">
        <v>8</v>
      </c>
    </row>
    <row r="18" spans="1:4" ht="15">
      <c r="A18" s="20">
        <v>17</v>
      </c>
      <c r="B18" s="108" t="s">
        <v>1674</v>
      </c>
      <c r="C18" s="76">
        <v>5</v>
      </c>
      <c r="D18" s="76">
        <v>5</v>
      </c>
    </row>
    <row r="19" spans="1:4" ht="15">
      <c r="A19" s="20">
        <v>18</v>
      </c>
      <c r="B19" s="108" t="s">
        <v>1678</v>
      </c>
      <c r="C19" s="76">
        <v>55</v>
      </c>
    </row>
    <row r="20" spans="1:4" ht="15">
      <c r="A20" s="20">
        <v>19</v>
      </c>
      <c r="B20" s="108" t="s">
        <v>1680</v>
      </c>
      <c r="C20" s="76">
        <v>15</v>
      </c>
    </row>
    <row r="21" spans="1:4" ht="15">
      <c r="A21" s="20">
        <v>20</v>
      </c>
      <c r="B21" s="108" t="s">
        <v>1715</v>
      </c>
      <c r="C21" s="76">
        <v>20</v>
      </c>
      <c r="D21" s="76">
        <v>25</v>
      </c>
    </row>
    <row r="22" spans="1:4" ht="15">
      <c r="A22" s="20">
        <v>21</v>
      </c>
    </row>
    <row r="23" spans="1:4" ht="15">
      <c r="A23" s="20">
        <v>22</v>
      </c>
    </row>
    <row r="24" spans="1:4" ht="15">
      <c r="A24" s="20">
        <v>23</v>
      </c>
    </row>
    <row r="25" spans="1:4" ht="15">
      <c r="A25" s="20">
        <v>24</v>
      </c>
    </row>
    <row r="26" spans="1:4" ht="15">
      <c r="A26" s="20">
        <v>25</v>
      </c>
    </row>
    <row r="27" spans="1:4" ht="15">
      <c r="A27" s="20">
        <v>26</v>
      </c>
    </row>
    <row r="28" spans="1:4" ht="15">
      <c r="A28" s="20">
        <v>27</v>
      </c>
    </row>
    <row r="29" spans="1:4" ht="15">
      <c r="A29" s="20">
        <v>28</v>
      </c>
    </row>
    <row r="30" spans="1:4" ht="15">
      <c r="A30" s="20">
        <v>29</v>
      </c>
    </row>
    <row r="31" spans="1:4" ht="15">
      <c r="A31" s="20">
        <v>30</v>
      </c>
    </row>
    <row r="32" spans="1:4" ht="15">
      <c r="A32" s="20">
        <v>31</v>
      </c>
    </row>
    <row r="33" spans="1:1" ht="15">
      <c r="A33" s="20">
        <v>32</v>
      </c>
    </row>
    <row r="34" spans="1:1" ht="15">
      <c r="A34" s="20">
        <v>33</v>
      </c>
    </row>
    <row r="35" spans="1:1" ht="15">
      <c r="A35" s="20">
        <v>34</v>
      </c>
    </row>
    <row r="36" spans="1:1" ht="15">
      <c r="A36" s="20">
        <v>35</v>
      </c>
    </row>
    <row r="37" spans="1:1" ht="15">
      <c r="A37" s="20">
        <v>36</v>
      </c>
    </row>
    <row r="38" spans="1:1" ht="15">
      <c r="A38" s="20">
        <v>37</v>
      </c>
    </row>
    <row r="39" spans="1:1" ht="15">
      <c r="A39" s="20">
        <v>38</v>
      </c>
    </row>
    <row r="40" spans="1:1" ht="15">
      <c r="A40" s="20">
        <v>39</v>
      </c>
    </row>
    <row r="41" spans="1:1" ht="15">
      <c r="A41" s="20">
        <v>40</v>
      </c>
    </row>
    <row r="42" spans="1:1" ht="15">
      <c r="A42" s="20">
        <v>41</v>
      </c>
    </row>
    <row r="43" spans="1:1" ht="15">
      <c r="A43" s="20">
        <v>42</v>
      </c>
    </row>
    <row r="44" spans="1:1" ht="15">
      <c r="A44" s="20">
        <v>43</v>
      </c>
    </row>
    <row r="45" spans="1:1" ht="15">
      <c r="A45" s="20">
        <v>44</v>
      </c>
    </row>
    <row r="46" spans="1:1" ht="15">
      <c r="A46" s="20">
        <v>45</v>
      </c>
    </row>
    <row r="47" spans="1:1" ht="15">
      <c r="A47" s="20">
        <v>46</v>
      </c>
    </row>
    <row r="48" spans="1:1" ht="15">
      <c r="A48" s="20">
        <v>47</v>
      </c>
    </row>
    <row r="49" spans="1:1" ht="15">
      <c r="A49" s="20">
        <v>48</v>
      </c>
    </row>
    <row r="50" spans="1:1" ht="15">
      <c r="A50" s="20">
        <v>49</v>
      </c>
    </row>
    <row r="51" spans="1:1">
      <c r="A51" s="19">
        <v>50</v>
      </c>
    </row>
    <row r="52" spans="1:1">
      <c r="A52" s="19">
        <v>51</v>
      </c>
    </row>
    <row r="53" spans="1:1">
      <c r="A53" s="19">
        <v>52</v>
      </c>
    </row>
    <row r="54" spans="1:1" ht="15">
      <c r="A54" s="20">
        <v>53</v>
      </c>
    </row>
    <row r="55" spans="1:1">
      <c r="A55" s="19">
        <v>54</v>
      </c>
    </row>
    <row r="56" spans="1:1">
      <c r="A56" s="19">
        <v>55</v>
      </c>
    </row>
    <row r="57" spans="1:1">
      <c r="A57" s="19">
        <v>99</v>
      </c>
    </row>
  </sheetData>
  <autoFilter ref="A1:C1" xr:uid="{00000000-0001-0000-0600-000000000000}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8AB7E-8AF7-402A-8D67-6D1DA8DC5354}">
  <sheetPr>
    <tabColor rgb="FFFFFF00"/>
  </sheetPr>
  <dimension ref="A1:P238"/>
  <sheetViews>
    <sheetView workbookViewId="0">
      <selection activeCell="N14" sqref="N14"/>
    </sheetView>
  </sheetViews>
  <sheetFormatPr baseColWidth="10" defaultColWidth="11.42578125" defaultRowHeight="14.25"/>
  <cols>
    <col min="1" max="1" width="11.42578125" style="1"/>
    <col min="2" max="3" width="11.42578125" style="77"/>
    <col min="4" max="4" width="27.85546875" style="77" customWidth="1"/>
    <col min="5" max="5" width="33.5703125" style="77" customWidth="1"/>
    <col min="6" max="14" width="11.42578125" style="77"/>
    <col min="15" max="15" width="20.7109375" style="77" bestFit="1" customWidth="1"/>
    <col min="16" max="16" width="11.42578125" style="77"/>
    <col min="17" max="16384" width="11.42578125" style="1"/>
  </cols>
  <sheetData>
    <row r="1" spans="1:15" ht="15">
      <c r="A1" s="125" t="s">
        <v>1615</v>
      </c>
      <c r="B1" s="125"/>
      <c r="C1" s="125"/>
      <c r="D1" s="125"/>
      <c r="E1" s="125"/>
      <c r="F1" s="125"/>
      <c r="G1" s="125"/>
      <c r="H1" s="125"/>
      <c r="I1" s="126"/>
      <c r="J1" s="127" t="s">
        <v>1614</v>
      </c>
      <c r="K1" s="127"/>
      <c r="L1" s="127"/>
      <c r="M1" s="127"/>
      <c r="N1" s="128" t="s">
        <v>1617</v>
      </c>
      <c r="O1" s="128"/>
    </row>
    <row r="2" spans="1:15" ht="15">
      <c r="A2" s="80" t="s">
        <v>1616</v>
      </c>
      <c r="B2" s="80" t="s">
        <v>1</v>
      </c>
      <c r="C2" s="80" t="s">
        <v>1606</v>
      </c>
      <c r="D2" s="80" t="s">
        <v>1607</v>
      </c>
      <c r="E2" s="80" t="s">
        <v>5</v>
      </c>
      <c r="F2" s="80" t="s">
        <v>1608</v>
      </c>
      <c r="G2" s="80" t="s">
        <v>1609</v>
      </c>
      <c r="H2" s="80" t="s">
        <v>1610</v>
      </c>
      <c r="I2" s="80" t="s">
        <v>1611</v>
      </c>
      <c r="J2" s="78" t="s">
        <v>1612</v>
      </c>
      <c r="K2" s="79" t="s">
        <v>1</v>
      </c>
      <c r="L2" s="79" t="s">
        <v>1605</v>
      </c>
      <c r="M2" s="79" t="s">
        <v>1613</v>
      </c>
      <c r="N2" s="81" t="s">
        <v>1618</v>
      </c>
      <c r="O2" s="81" t="s">
        <v>1619</v>
      </c>
    </row>
    <row r="3" spans="1:15">
      <c r="A3" s="56"/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81" t="str">
        <f>IFERROR(LOOKUP(N:N,CODIGOS!A:A,CODIGOS!B:B),"")</f>
        <v/>
      </c>
    </row>
    <row r="4" spans="1:15">
      <c r="A4" s="56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81" t="str">
        <f>IFERROR(LOOKUP(N:N,CODIGOS!A:A,CODIGOS!B:B),"")</f>
        <v/>
      </c>
    </row>
    <row r="5" spans="1:15">
      <c r="A5" s="56"/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81" t="str">
        <f>IFERROR(LOOKUP(N:N,CODIGOS!A:A,CODIGOS!B:B),"")</f>
        <v/>
      </c>
    </row>
    <row r="6" spans="1:15">
      <c r="A6" s="56"/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81" t="str">
        <f>IFERROR(LOOKUP(N:N,CODIGOS!A:A,CODIGOS!B:B),"")</f>
        <v/>
      </c>
    </row>
    <row r="7" spans="1:15">
      <c r="A7" s="56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81" t="str">
        <f>IFERROR(LOOKUP(N:N,CODIGOS!A:A,CODIGOS!B:B),"")</f>
        <v/>
      </c>
    </row>
    <row r="8" spans="1:15">
      <c r="A8" s="56"/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81" t="str">
        <f>IFERROR(LOOKUP(N:N,CODIGOS!A:A,CODIGOS!B:B),"")</f>
        <v/>
      </c>
    </row>
    <row r="9" spans="1:15">
      <c r="A9" s="56"/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81" t="str">
        <f>IFERROR(LOOKUP(N:N,CODIGOS!A:A,CODIGOS!B:B),"")</f>
        <v/>
      </c>
    </row>
    <row r="10" spans="1:15">
      <c r="A10" s="56"/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81" t="str">
        <f>IFERROR(LOOKUP(N:N,CODIGOS!A:A,CODIGOS!B:B),"")</f>
        <v/>
      </c>
    </row>
    <row r="11" spans="1:15">
      <c r="A11" s="56"/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81" t="str">
        <f>IFERROR(LOOKUP(N:N,CODIGOS!A:A,CODIGOS!B:B),"")</f>
        <v/>
      </c>
    </row>
    <row r="12" spans="1:15">
      <c r="A12" s="56"/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81" t="str">
        <f>IFERROR(LOOKUP(N:N,CODIGOS!A:A,CODIGOS!B:B),"")</f>
        <v/>
      </c>
    </row>
    <row r="13" spans="1:15">
      <c r="A13" s="56"/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81" t="str">
        <f>IFERROR(LOOKUP(N:N,CODIGOS!A:A,CODIGOS!B:B),"")</f>
        <v/>
      </c>
    </row>
    <row r="14" spans="1:15">
      <c r="A14" s="56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81" t="str">
        <f>IFERROR(LOOKUP(N:N,CODIGOS!A:A,CODIGOS!B:B),"")</f>
        <v/>
      </c>
    </row>
    <row r="15" spans="1:15">
      <c r="A15" s="56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81" t="str">
        <f>IFERROR(LOOKUP(N:N,CODIGOS!A:A,CODIGOS!B:B),"")</f>
        <v/>
      </c>
    </row>
    <row r="16" spans="1:15">
      <c r="A16" s="56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81" t="str">
        <f>IFERROR(LOOKUP(N:N,CODIGOS!A:A,CODIGOS!B:B),"")</f>
        <v/>
      </c>
    </row>
    <row r="17" spans="1:15">
      <c r="A17" s="56"/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81" t="str">
        <f>IFERROR(LOOKUP(N:N,CODIGOS!A:A,CODIGOS!B:B),"")</f>
        <v/>
      </c>
    </row>
    <row r="18" spans="1:15">
      <c r="A18" s="56"/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81" t="str">
        <f>IFERROR(LOOKUP(N:N,CODIGOS!A:A,CODIGOS!B:B),"")</f>
        <v/>
      </c>
    </row>
    <row r="19" spans="1:15">
      <c r="A19" s="56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81" t="str">
        <f>IFERROR(LOOKUP(N:N,CODIGOS!A:A,CODIGOS!B:B),"")</f>
        <v/>
      </c>
    </row>
    <row r="20" spans="1:15">
      <c r="A20" s="56"/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81" t="str">
        <f>IFERROR(LOOKUP(N:N,CODIGOS!A:A,CODIGOS!B:B),"")</f>
        <v/>
      </c>
    </row>
    <row r="21" spans="1:15">
      <c r="A21" s="56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81" t="str">
        <f>IFERROR(LOOKUP(N:N,CODIGOS!A:A,CODIGOS!B:B),"")</f>
        <v/>
      </c>
    </row>
    <row r="22" spans="1:15">
      <c r="A22" s="56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81" t="str">
        <f>IFERROR(LOOKUP(N:N,CODIGOS!A:A,CODIGOS!B:B),"")</f>
        <v/>
      </c>
    </row>
    <row r="23" spans="1:15">
      <c r="A23" s="56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81" t="str">
        <f>IFERROR(LOOKUP(N:N,CODIGOS!A:A,CODIGOS!B:B),"")</f>
        <v/>
      </c>
    </row>
    <row r="24" spans="1:15">
      <c r="A24" s="56"/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81" t="str">
        <f>IFERROR(LOOKUP(N:N,CODIGOS!A:A,CODIGOS!B:B),"")</f>
        <v/>
      </c>
    </row>
    <row r="25" spans="1:15">
      <c r="A25" s="56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81" t="str">
        <f>IFERROR(LOOKUP(N:N,CODIGOS!A:A,CODIGOS!B:B),"")</f>
        <v/>
      </c>
    </row>
    <row r="26" spans="1:15">
      <c r="A26" s="56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81" t="str">
        <f>IFERROR(LOOKUP(N:N,CODIGOS!A:A,CODIGOS!B:B),"")</f>
        <v/>
      </c>
    </row>
    <row r="27" spans="1:15">
      <c r="A27" s="56"/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81" t="str">
        <f>IFERROR(LOOKUP(N:N,CODIGOS!A:A,CODIGOS!B:B),"")</f>
        <v/>
      </c>
    </row>
    <row r="28" spans="1:15">
      <c r="A28" s="56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81" t="str">
        <f>IFERROR(LOOKUP(N:N,CODIGOS!A:A,CODIGOS!B:B),"")</f>
        <v/>
      </c>
    </row>
    <row r="29" spans="1:15">
      <c r="A29" s="56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81" t="str">
        <f>IFERROR(LOOKUP(N:N,CODIGOS!A:A,CODIGOS!B:B),"")</f>
        <v/>
      </c>
    </row>
    <row r="30" spans="1:15">
      <c r="A30" s="56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81" t="str">
        <f>IFERROR(LOOKUP(N:N,CODIGOS!A:A,CODIGOS!B:B),"")</f>
        <v/>
      </c>
    </row>
    <row r="31" spans="1:15">
      <c r="A31" s="56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81" t="str">
        <f>IFERROR(LOOKUP(N:N,CODIGOS!A:A,CODIGOS!B:B),"")</f>
        <v/>
      </c>
    </row>
    <row r="32" spans="1:15">
      <c r="A32" s="56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81" t="str">
        <f>IFERROR(LOOKUP(N:N,CODIGOS!A:A,CODIGOS!B:B),"")</f>
        <v/>
      </c>
    </row>
    <row r="33" spans="1:15">
      <c r="A33" s="56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81" t="str">
        <f>IFERROR(LOOKUP(N:N,CODIGOS!A:A,CODIGOS!B:B),"")</f>
        <v/>
      </c>
    </row>
    <row r="34" spans="1:15">
      <c r="A34" s="56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81" t="str">
        <f>IFERROR(LOOKUP(N:N,CODIGOS!A:A,CODIGOS!B:B),"")</f>
        <v/>
      </c>
    </row>
    <row r="35" spans="1:15">
      <c r="A35" s="56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81" t="str">
        <f>IFERROR(LOOKUP(N:N,CODIGOS!A:A,CODIGOS!B:B),"")</f>
        <v/>
      </c>
    </row>
    <row r="36" spans="1:15">
      <c r="A36" s="56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81" t="str">
        <f>IFERROR(LOOKUP(N:N,CODIGOS!A:A,CODIGOS!B:B),"")</f>
        <v/>
      </c>
    </row>
    <row r="37" spans="1:15">
      <c r="A37" s="56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81" t="str">
        <f>IFERROR(LOOKUP(N:N,CODIGOS!A:A,CODIGOS!B:B),"")</f>
        <v/>
      </c>
    </row>
    <row r="38" spans="1:15">
      <c r="A38" s="56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81" t="str">
        <f>IFERROR(LOOKUP(N:N,CODIGOS!A:A,CODIGOS!B:B),"")</f>
        <v/>
      </c>
    </row>
    <row r="39" spans="1:15">
      <c r="A39" s="56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81" t="str">
        <f>IFERROR(LOOKUP(N:N,CODIGOS!A:A,CODIGOS!B:B),"")</f>
        <v/>
      </c>
    </row>
    <row r="40" spans="1:15">
      <c r="A40" s="56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81" t="str">
        <f>IFERROR(LOOKUP(N:N,CODIGOS!A:A,CODIGOS!B:B),"")</f>
        <v/>
      </c>
    </row>
    <row r="41" spans="1:15">
      <c r="A41" s="56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81" t="str">
        <f>IFERROR(LOOKUP(N:N,CODIGOS!A:A,CODIGOS!B:B),"")</f>
        <v/>
      </c>
    </row>
    <row r="42" spans="1:15">
      <c r="A42" s="56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81" t="str">
        <f>IFERROR(LOOKUP(N:N,CODIGOS!A:A,CODIGOS!B:B),"")</f>
        <v/>
      </c>
    </row>
    <row r="43" spans="1:15">
      <c r="A43" s="56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81" t="str">
        <f>IFERROR(LOOKUP(N:N,CODIGOS!A:A,CODIGOS!B:B),"")</f>
        <v/>
      </c>
    </row>
    <row r="44" spans="1:15">
      <c r="A44" s="56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81" t="str">
        <f>IFERROR(LOOKUP(N:N,CODIGOS!A:A,CODIGOS!B:B),"")</f>
        <v/>
      </c>
    </row>
    <row r="45" spans="1:15">
      <c r="A45" s="56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81" t="str">
        <f>IFERROR(LOOKUP(N:N,CODIGOS!A:A,CODIGOS!B:B),"")</f>
        <v/>
      </c>
    </row>
    <row r="46" spans="1:15">
      <c r="A46" s="56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81" t="str">
        <f>IFERROR(LOOKUP(N:N,CODIGOS!A:A,CODIGOS!B:B),"")</f>
        <v/>
      </c>
    </row>
    <row r="47" spans="1:15">
      <c r="A47" s="56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81" t="str">
        <f>IFERROR(LOOKUP(N:N,CODIGOS!A:A,CODIGOS!B:B),"")</f>
        <v/>
      </c>
    </row>
    <row r="48" spans="1:15">
      <c r="A48" s="56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81" t="str">
        <f>IFERROR(LOOKUP(N:N,CODIGOS!A:A,CODIGOS!B:B),"")</f>
        <v/>
      </c>
    </row>
    <row r="49" spans="1:15">
      <c r="A49" s="56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81" t="str">
        <f>IFERROR(LOOKUP(N:N,CODIGOS!A:A,CODIGOS!B:B),"")</f>
        <v/>
      </c>
    </row>
    <row r="50" spans="1:15">
      <c r="A50" s="56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81" t="str">
        <f>IFERROR(LOOKUP(N:N,CODIGOS!A:A,CODIGOS!B:B),"")</f>
        <v/>
      </c>
    </row>
    <row r="51" spans="1:15">
      <c r="A51" s="56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81" t="str">
        <f>IFERROR(LOOKUP(N:N,CODIGOS!A:A,CODIGOS!B:B),"")</f>
        <v/>
      </c>
    </row>
    <row r="52" spans="1:15">
      <c r="A52" s="56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81" t="str">
        <f>IFERROR(LOOKUP(N:N,CODIGOS!A:A,CODIGOS!B:B),"")</f>
        <v/>
      </c>
    </row>
    <row r="53" spans="1:15">
      <c r="A53" s="56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81" t="str">
        <f>IFERROR(LOOKUP(N:N,CODIGOS!A:A,CODIGOS!B:B),"")</f>
        <v/>
      </c>
    </row>
    <row r="54" spans="1:15">
      <c r="A54" s="56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81" t="str">
        <f>IFERROR(LOOKUP(N:N,CODIGOS!A:A,CODIGOS!B:B),"")</f>
        <v/>
      </c>
    </row>
    <row r="55" spans="1:15">
      <c r="A55" s="56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81" t="str">
        <f>IFERROR(LOOKUP(N:N,CODIGOS!A:A,CODIGOS!B:B),"")</f>
        <v/>
      </c>
    </row>
    <row r="56" spans="1:15">
      <c r="A56" s="56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81" t="str">
        <f>IFERROR(LOOKUP(N:N,CODIGOS!A:A,CODIGOS!B:B),"")</f>
        <v/>
      </c>
    </row>
    <row r="57" spans="1:15">
      <c r="A57" s="56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81" t="str">
        <f>IFERROR(LOOKUP(N:N,CODIGOS!A:A,CODIGOS!B:B),"")</f>
        <v/>
      </c>
    </row>
    <row r="58" spans="1:15">
      <c r="A58" s="56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81" t="str">
        <f>IFERROR(LOOKUP(N:N,CODIGOS!A:A,CODIGOS!B:B),"")</f>
        <v/>
      </c>
    </row>
    <row r="59" spans="1:15">
      <c r="A59" s="56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81" t="str">
        <f>IFERROR(LOOKUP(N:N,CODIGOS!A:A,CODIGOS!B:B),"")</f>
        <v/>
      </c>
    </row>
    <row r="60" spans="1:15">
      <c r="A60" s="56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81" t="str">
        <f>IFERROR(LOOKUP(N:N,CODIGOS!A:A,CODIGOS!B:B),"")</f>
        <v/>
      </c>
    </row>
    <row r="61" spans="1:15">
      <c r="A61" s="56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81" t="str">
        <f>IFERROR(LOOKUP(N:N,CODIGOS!A:A,CODIGOS!B:B),"")</f>
        <v/>
      </c>
    </row>
    <row r="62" spans="1:15">
      <c r="A62" s="56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81" t="str">
        <f>IFERROR(LOOKUP(N:N,CODIGOS!A:A,CODIGOS!B:B),"")</f>
        <v/>
      </c>
    </row>
    <row r="63" spans="1:15">
      <c r="A63" s="56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81" t="str">
        <f>IFERROR(LOOKUP(N:N,CODIGOS!A:A,CODIGOS!B:B),"")</f>
        <v/>
      </c>
    </row>
    <row r="64" spans="1:15">
      <c r="A64" s="56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81" t="str">
        <f>IFERROR(LOOKUP(N:N,CODIGOS!A:A,CODIGOS!B:B),"")</f>
        <v/>
      </c>
    </row>
    <row r="65" spans="1:15">
      <c r="A65" s="56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81" t="str">
        <f>IFERROR(LOOKUP(N:N,CODIGOS!A:A,CODIGOS!B:B),"")</f>
        <v/>
      </c>
    </row>
    <row r="66" spans="1:15">
      <c r="A66" s="56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81" t="str">
        <f>IFERROR(LOOKUP(N:N,CODIGOS!A:A,CODIGOS!B:B),"")</f>
        <v/>
      </c>
    </row>
    <row r="67" spans="1:15">
      <c r="A67" s="56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81" t="str">
        <f>IFERROR(LOOKUP(N:N,CODIGOS!A:A,CODIGOS!B:B),"")</f>
        <v/>
      </c>
    </row>
    <row r="68" spans="1:15">
      <c r="A68" s="56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81" t="str">
        <f>IFERROR(LOOKUP(N:N,CODIGOS!A:A,CODIGOS!B:B),"")</f>
        <v/>
      </c>
    </row>
    <row r="69" spans="1:15">
      <c r="A69" s="56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81" t="str">
        <f>IFERROR(LOOKUP(N:N,CODIGOS!A:A,CODIGOS!B:B),"")</f>
        <v/>
      </c>
    </row>
    <row r="70" spans="1:15">
      <c r="A70" s="56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81" t="str">
        <f>IFERROR(LOOKUP(N:N,CODIGOS!A:A,CODIGOS!B:B),"")</f>
        <v/>
      </c>
    </row>
    <row r="71" spans="1:15">
      <c r="A71" s="56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81" t="str">
        <f>IFERROR(LOOKUP(N:N,CODIGOS!A:A,CODIGOS!B:B),"")</f>
        <v/>
      </c>
    </row>
    <row r="72" spans="1:15">
      <c r="A72" s="56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81" t="str">
        <f>IFERROR(LOOKUP(N:N,CODIGOS!A:A,CODIGOS!B:B),"")</f>
        <v/>
      </c>
    </row>
    <row r="73" spans="1:15">
      <c r="A73" s="56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81" t="str">
        <f>IFERROR(LOOKUP(N:N,CODIGOS!A:A,CODIGOS!B:B),"")</f>
        <v/>
      </c>
    </row>
    <row r="74" spans="1:15">
      <c r="A74" s="56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81" t="str">
        <f>IFERROR(LOOKUP(N:N,CODIGOS!A:A,CODIGOS!B:B),"")</f>
        <v/>
      </c>
    </row>
    <row r="75" spans="1:15">
      <c r="A75" s="56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81" t="str">
        <f>IFERROR(LOOKUP(N:N,CODIGOS!A:A,CODIGOS!B:B),"")</f>
        <v/>
      </c>
    </row>
    <row r="76" spans="1:15">
      <c r="A76" s="56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81" t="str">
        <f>IFERROR(LOOKUP(N:N,CODIGOS!A:A,CODIGOS!B:B),"")</f>
        <v/>
      </c>
    </row>
    <row r="77" spans="1:15">
      <c r="A77" s="56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81" t="str">
        <f>IFERROR(LOOKUP(N:N,CODIGOS!A:A,CODIGOS!B:B),"")</f>
        <v/>
      </c>
    </row>
    <row r="78" spans="1:15">
      <c r="A78" s="56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81" t="str">
        <f>IFERROR(LOOKUP(N:N,CODIGOS!A:A,CODIGOS!B:B),"")</f>
        <v/>
      </c>
    </row>
    <row r="79" spans="1:15">
      <c r="A79" s="56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81" t="str">
        <f>IFERROR(LOOKUP(N:N,CODIGOS!A:A,CODIGOS!B:B),"")</f>
        <v/>
      </c>
    </row>
    <row r="80" spans="1:15">
      <c r="A80" s="56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81" t="str">
        <f>IFERROR(LOOKUP(N:N,CODIGOS!A:A,CODIGOS!B:B),"")</f>
        <v/>
      </c>
    </row>
    <row r="81" spans="1:15">
      <c r="A81" s="56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81" t="str">
        <f>IFERROR(LOOKUP(N:N,CODIGOS!A:A,CODIGOS!B:B),"")</f>
        <v/>
      </c>
    </row>
    <row r="82" spans="1:15">
      <c r="A82" s="56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81" t="str">
        <f>IFERROR(LOOKUP(N:N,CODIGOS!A:A,CODIGOS!B:B),"")</f>
        <v/>
      </c>
    </row>
    <row r="83" spans="1:15">
      <c r="A83" s="56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81" t="str">
        <f>IFERROR(LOOKUP(N:N,CODIGOS!A:A,CODIGOS!B:B),"")</f>
        <v/>
      </c>
    </row>
    <row r="84" spans="1:15">
      <c r="A84" s="56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81" t="str">
        <f>IFERROR(LOOKUP(N:N,CODIGOS!A:A,CODIGOS!B:B),"")</f>
        <v/>
      </c>
    </row>
    <row r="85" spans="1:15">
      <c r="A85" s="56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81" t="str">
        <f>IFERROR(LOOKUP(N:N,CODIGOS!A:A,CODIGOS!B:B),"")</f>
        <v/>
      </c>
    </row>
    <row r="86" spans="1:15">
      <c r="A86" s="56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81" t="str">
        <f>IFERROR(LOOKUP(N:N,CODIGOS!A:A,CODIGOS!B:B),"")</f>
        <v/>
      </c>
    </row>
    <row r="87" spans="1:15">
      <c r="A87" s="56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81" t="str">
        <f>IFERROR(LOOKUP(N:N,CODIGOS!A:A,CODIGOS!B:B),"")</f>
        <v/>
      </c>
    </row>
    <row r="88" spans="1:15">
      <c r="A88" s="56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81" t="str">
        <f>IFERROR(LOOKUP(N:N,CODIGOS!A:A,CODIGOS!B:B),"")</f>
        <v/>
      </c>
    </row>
    <row r="89" spans="1:15">
      <c r="A89" s="56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81" t="str">
        <f>IFERROR(LOOKUP(N:N,CODIGOS!A:A,CODIGOS!B:B),"")</f>
        <v/>
      </c>
    </row>
    <row r="90" spans="1:15">
      <c r="A90" s="56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81" t="str">
        <f>IFERROR(LOOKUP(N:N,CODIGOS!A:A,CODIGOS!B:B),"")</f>
        <v/>
      </c>
    </row>
    <row r="91" spans="1:15">
      <c r="A91" s="56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81" t="str">
        <f>IFERROR(LOOKUP(N:N,CODIGOS!A:A,CODIGOS!B:B),"")</f>
        <v/>
      </c>
    </row>
    <row r="92" spans="1:15">
      <c r="A92" s="56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81" t="str">
        <f>IFERROR(LOOKUP(N:N,CODIGOS!A:A,CODIGOS!B:B),"")</f>
        <v/>
      </c>
    </row>
    <row r="93" spans="1:15">
      <c r="A93" s="56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81" t="str">
        <f>IFERROR(LOOKUP(N:N,CODIGOS!A:A,CODIGOS!B:B),"")</f>
        <v/>
      </c>
    </row>
    <row r="94" spans="1:15">
      <c r="A94" s="56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81" t="str">
        <f>IFERROR(LOOKUP(N:N,CODIGOS!A:A,CODIGOS!B:B),"")</f>
        <v/>
      </c>
    </row>
    <row r="95" spans="1:15">
      <c r="A95" s="56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81" t="str">
        <f>IFERROR(LOOKUP(N:N,CODIGOS!A:A,CODIGOS!B:B),"")</f>
        <v/>
      </c>
    </row>
    <row r="96" spans="1:15">
      <c r="A96" s="56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81" t="str">
        <f>IFERROR(LOOKUP(N:N,CODIGOS!A:A,CODIGOS!B:B),"")</f>
        <v/>
      </c>
    </row>
    <row r="97" spans="1:15">
      <c r="A97" s="56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81" t="str">
        <f>IFERROR(LOOKUP(N:N,CODIGOS!A:A,CODIGOS!B:B),"")</f>
        <v/>
      </c>
    </row>
    <row r="98" spans="1:15">
      <c r="A98" s="56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81" t="str">
        <f>IFERROR(LOOKUP(N:N,CODIGOS!A:A,CODIGOS!B:B),"")</f>
        <v/>
      </c>
    </row>
    <row r="99" spans="1:15">
      <c r="A99" s="56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81" t="str">
        <f>IFERROR(LOOKUP(N:N,CODIGOS!A:A,CODIGOS!B:B),"")</f>
        <v/>
      </c>
    </row>
    <row r="100" spans="1:15">
      <c r="A100" s="56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81" t="str">
        <f>IFERROR(LOOKUP(N:N,CODIGOS!A:A,CODIGOS!B:B),"")</f>
        <v/>
      </c>
    </row>
    <row r="101" spans="1:15">
      <c r="A101" s="56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81" t="str">
        <f>IFERROR(LOOKUP(N:N,CODIGOS!A:A,CODIGOS!B:B),"")</f>
        <v/>
      </c>
    </row>
    <row r="102" spans="1:15">
      <c r="A102" s="56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81" t="str">
        <f>IFERROR(LOOKUP(N:N,CODIGOS!A:A,CODIGOS!B:B),"")</f>
        <v/>
      </c>
    </row>
    <row r="103" spans="1:15">
      <c r="A103" s="56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81" t="str">
        <f>IFERROR(LOOKUP(N:N,CODIGOS!A:A,CODIGOS!B:B),"")</f>
        <v/>
      </c>
    </row>
    <row r="104" spans="1:15">
      <c r="A104" s="56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81" t="str">
        <f>IFERROR(LOOKUP(N:N,CODIGOS!A:A,CODIGOS!B:B),"")</f>
        <v/>
      </c>
    </row>
    <row r="105" spans="1:15">
      <c r="A105" s="56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81" t="str">
        <f>IFERROR(LOOKUP(N:N,CODIGOS!A:A,CODIGOS!B:B),"")</f>
        <v/>
      </c>
    </row>
    <row r="106" spans="1:15">
      <c r="A106" s="56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81" t="str">
        <f>IFERROR(LOOKUP(N:N,CODIGOS!A:A,CODIGOS!B:B),"")</f>
        <v/>
      </c>
    </row>
    <row r="107" spans="1:15">
      <c r="A107" s="56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81" t="str">
        <f>IFERROR(LOOKUP(N:N,CODIGOS!A:A,CODIGOS!B:B),"")</f>
        <v/>
      </c>
    </row>
    <row r="108" spans="1:15">
      <c r="A108" s="56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81" t="str">
        <f>IFERROR(LOOKUP(N:N,CODIGOS!A:A,CODIGOS!B:B),"")</f>
        <v/>
      </c>
    </row>
    <row r="109" spans="1:15">
      <c r="A109" s="56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81" t="str">
        <f>IFERROR(LOOKUP(N:N,CODIGOS!A:A,CODIGOS!B:B),"")</f>
        <v/>
      </c>
    </row>
    <row r="110" spans="1:15">
      <c r="A110" s="56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81" t="str">
        <f>IFERROR(LOOKUP(N:N,CODIGOS!A:A,CODIGOS!B:B),"")</f>
        <v/>
      </c>
    </row>
    <row r="111" spans="1:15">
      <c r="A111" s="56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81" t="str">
        <f>IFERROR(LOOKUP(N:N,CODIGOS!A:A,CODIGOS!B:B),"")</f>
        <v/>
      </c>
    </row>
    <row r="112" spans="1:15">
      <c r="A112" s="56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81" t="str">
        <f>IFERROR(LOOKUP(N:N,CODIGOS!A:A,CODIGOS!B:B),"")</f>
        <v/>
      </c>
    </row>
    <row r="113" spans="1:15">
      <c r="A113" s="56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81" t="str">
        <f>IFERROR(LOOKUP(N:N,CODIGOS!A:A,CODIGOS!B:B),"")</f>
        <v/>
      </c>
    </row>
    <row r="114" spans="1:15">
      <c r="A114" s="56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81" t="str">
        <f>IFERROR(LOOKUP(N:N,CODIGOS!A:A,CODIGOS!B:B),"")</f>
        <v/>
      </c>
    </row>
    <row r="115" spans="1:15">
      <c r="A115" s="56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81" t="str">
        <f>IFERROR(LOOKUP(N:N,CODIGOS!A:A,CODIGOS!B:B),"")</f>
        <v/>
      </c>
    </row>
    <row r="116" spans="1:15">
      <c r="A116" s="56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81" t="str">
        <f>IFERROR(LOOKUP(N:N,CODIGOS!A:A,CODIGOS!B:B),"")</f>
        <v/>
      </c>
    </row>
    <row r="117" spans="1:15">
      <c r="A117" s="56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81" t="str">
        <f>IFERROR(LOOKUP(N:N,CODIGOS!A:A,CODIGOS!B:B),"")</f>
        <v/>
      </c>
    </row>
    <row r="118" spans="1:15">
      <c r="A118" s="56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81" t="str">
        <f>IFERROR(LOOKUP(N:N,CODIGOS!A:A,CODIGOS!B:B),"")</f>
        <v/>
      </c>
    </row>
    <row r="119" spans="1:15">
      <c r="A119" s="56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81" t="str">
        <f>IFERROR(LOOKUP(N:N,CODIGOS!A:A,CODIGOS!B:B),"")</f>
        <v/>
      </c>
    </row>
    <row r="120" spans="1:15">
      <c r="A120" s="56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81" t="str">
        <f>IFERROR(LOOKUP(N:N,CODIGOS!A:A,CODIGOS!B:B),"")</f>
        <v/>
      </c>
    </row>
    <row r="121" spans="1:15">
      <c r="A121" s="56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81" t="str">
        <f>IFERROR(LOOKUP(N:N,CODIGOS!A:A,CODIGOS!B:B),"")</f>
        <v/>
      </c>
    </row>
    <row r="122" spans="1:15">
      <c r="A122" s="56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81" t="str">
        <f>IFERROR(LOOKUP(N:N,CODIGOS!A:A,CODIGOS!B:B),"")</f>
        <v/>
      </c>
    </row>
    <row r="123" spans="1:15">
      <c r="A123" s="56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81" t="str">
        <f>IFERROR(LOOKUP(N:N,CODIGOS!A:A,CODIGOS!B:B),"")</f>
        <v/>
      </c>
    </row>
    <row r="124" spans="1:15">
      <c r="A124" s="56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81" t="str">
        <f>IFERROR(LOOKUP(N:N,CODIGOS!A:A,CODIGOS!B:B),"")</f>
        <v/>
      </c>
    </row>
    <row r="125" spans="1:15">
      <c r="A125" s="56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81" t="str">
        <f>IFERROR(LOOKUP(N:N,CODIGOS!A:A,CODIGOS!B:B),"")</f>
        <v/>
      </c>
    </row>
    <row r="126" spans="1:15">
      <c r="A126" s="56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81" t="str">
        <f>IFERROR(LOOKUP(N:N,CODIGOS!A:A,CODIGOS!B:B),"")</f>
        <v/>
      </c>
    </row>
    <row r="127" spans="1:15">
      <c r="A127" s="56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81" t="str">
        <f>IFERROR(LOOKUP(N:N,CODIGOS!A:A,CODIGOS!B:B),"")</f>
        <v/>
      </c>
    </row>
    <row r="128" spans="1:15">
      <c r="A128" s="56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81" t="str">
        <f>IFERROR(LOOKUP(N:N,CODIGOS!A:A,CODIGOS!B:B),"")</f>
        <v/>
      </c>
    </row>
    <row r="129" spans="1:15">
      <c r="A129" s="56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81" t="str">
        <f>IFERROR(LOOKUP(N:N,CODIGOS!A:A,CODIGOS!B:B),"")</f>
        <v/>
      </c>
    </row>
    <row r="130" spans="1:15">
      <c r="A130" s="56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81" t="str">
        <f>IFERROR(LOOKUP(N:N,CODIGOS!A:A,CODIGOS!B:B),"")</f>
        <v/>
      </c>
    </row>
    <row r="131" spans="1:15">
      <c r="A131" s="56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81" t="str">
        <f>IFERROR(LOOKUP(N:N,CODIGOS!A:A,CODIGOS!B:B),"")</f>
        <v/>
      </c>
    </row>
    <row r="132" spans="1:15">
      <c r="A132" s="56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81" t="str">
        <f>IFERROR(LOOKUP(N:N,CODIGOS!A:A,CODIGOS!B:B),"")</f>
        <v/>
      </c>
    </row>
    <row r="133" spans="1:15">
      <c r="A133" s="56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81" t="str">
        <f>IFERROR(LOOKUP(N:N,CODIGOS!A:A,CODIGOS!B:B),"")</f>
        <v/>
      </c>
    </row>
    <row r="134" spans="1:15">
      <c r="A134" s="56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81" t="str">
        <f>IFERROR(LOOKUP(N:N,CODIGOS!A:A,CODIGOS!B:B),"")</f>
        <v/>
      </c>
    </row>
    <row r="135" spans="1:15">
      <c r="A135" s="56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81" t="str">
        <f>IFERROR(LOOKUP(N:N,CODIGOS!A:A,CODIGOS!B:B),"")</f>
        <v/>
      </c>
    </row>
    <row r="136" spans="1:15">
      <c r="A136" s="56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81" t="str">
        <f>IFERROR(LOOKUP(N:N,CODIGOS!A:A,CODIGOS!B:B),"")</f>
        <v/>
      </c>
    </row>
    <row r="137" spans="1:15">
      <c r="A137" s="56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81" t="str">
        <f>IFERROR(LOOKUP(N:N,CODIGOS!A:A,CODIGOS!B:B),"")</f>
        <v/>
      </c>
    </row>
    <row r="138" spans="1:15">
      <c r="A138" s="56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81" t="str">
        <f>IFERROR(LOOKUP(N:N,CODIGOS!A:A,CODIGOS!B:B),"")</f>
        <v/>
      </c>
    </row>
    <row r="139" spans="1:15">
      <c r="A139" s="56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81" t="str">
        <f>IFERROR(LOOKUP(N:N,CODIGOS!A:A,CODIGOS!B:B),"")</f>
        <v/>
      </c>
    </row>
    <row r="140" spans="1:15">
      <c r="A140" s="56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81" t="str">
        <f>IFERROR(LOOKUP(N:N,CODIGOS!A:A,CODIGOS!B:B),"")</f>
        <v/>
      </c>
    </row>
    <row r="141" spans="1:15">
      <c r="A141" s="56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81" t="str">
        <f>IFERROR(LOOKUP(N:N,CODIGOS!A:A,CODIGOS!B:B),"")</f>
        <v/>
      </c>
    </row>
    <row r="142" spans="1:15">
      <c r="A142" s="56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81" t="str">
        <f>IFERROR(LOOKUP(N:N,CODIGOS!A:A,CODIGOS!B:B),"")</f>
        <v/>
      </c>
    </row>
    <row r="143" spans="1:15">
      <c r="A143" s="56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81" t="str">
        <f>IFERROR(LOOKUP(N:N,CODIGOS!A:A,CODIGOS!B:B),"")</f>
        <v/>
      </c>
    </row>
    <row r="144" spans="1:15">
      <c r="A144" s="56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81" t="str">
        <f>IFERROR(LOOKUP(N:N,CODIGOS!A:A,CODIGOS!B:B),"")</f>
        <v/>
      </c>
    </row>
    <row r="145" spans="1:15">
      <c r="A145" s="56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81" t="str">
        <f>IFERROR(LOOKUP(N:N,CODIGOS!A:A,CODIGOS!B:B),"")</f>
        <v/>
      </c>
    </row>
    <row r="146" spans="1:15">
      <c r="A146" s="56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81" t="str">
        <f>IFERROR(LOOKUP(N:N,CODIGOS!A:A,CODIGOS!B:B),"")</f>
        <v/>
      </c>
    </row>
    <row r="147" spans="1:15">
      <c r="A147" s="56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81" t="str">
        <f>IFERROR(LOOKUP(N:N,CODIGOS!A:A,CODIGOS!B:B),"")</f>
        <v/>
      </c>
    </row>
    <row r="148" spans="1:15">
      <c r="A148" s="56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81" t="str">
        <f>IFERROR(LOOKUP(N:N,CODIGOS!A:A,CODIGOS!B:B),"")</f>
        <v/>
      </c>
    </row>
    <row r="149" spans="1:15">
      <c r="A149" s="56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81" t="str">
        <f>IFERROR(LOOKUP(N:N,CODIGOS!A:A,CODIGOS!B:B),"")</f>
        <v/>
      </c>
    </row>
    <row r="150" spans="1:15">
      <c r="A150" s="56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81" t="str">
        <f>IFERROR(LOOKUP(N:N,CODIGOS!A:A,CODIGOS!B:B),"")</f>
        <v/>
      </c>
    </row>
    <row r="151" spans="1:15">
      <c r="A151" s="56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81" t="str">
        <f>IFERROR(LOOKUP(N:N,CODIGOS!A:A,CODIGOS!B:B),"")</f>
        <v/>
      </c>
    </row>
    <row r="152" spans="1:15">
      <c r="A152" s="56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81" t="str">
        <f>IFERROR(LOOKUP(N:N,CODIGOS!A:A,CODIGOS!B:B),"")</f>
        <v/>
      </c>
    </row>
    <row r="153" spans="1:15">
      <c r="A153" s="56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81" t="str">
        <f>IFERROR(LOOKUP(N:N,CODIGOS!A:A,CODIGOS!B:B),"")</f>
        <v/>
      </c>
    </row>
    <row r="154" spans="1:15">
      <c r="A154" s="56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81" t="str">
        <f>IFERROR(LOOKUP(N:N,CODIGOS!A:A,CODIGOS!B:B),"")</f>
        <v/>
      </c>
    </row>
    <row r="155" spans="1:15">
      <c r="A155" s="56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81" t="str">
        <f>IFERROR(LOOKUP(N:N,CODIGOS!A:A,CODIGOS!B:B),"")</f>
        <v/>
      </c>
    </row>
    <row r="156" spans="1:15">
      <c r="A156" s="56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81" t="str">
        <f>IFERROR(LOOKUP(N:N,CODIGOS!A:A,CODIGOS!B:B),"")</f>
        <v/>
      </c>
    </row>
    <row r="157" spans="1:15">
      <c r="A157" s="56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81" t="str">
        <f>IFERROR(LOOKUP(N:N,CODIGOS!A:A,CODIGOS!B:B),"")</f>
        <v/>
      </c>
    </row>
    <row r="158" spans="1:15">
      <c r="A158" s="56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81" t="str">
        <f>IFERROR(LOOKUP(N:N,CODIGOS!A:A,CODIGOS!B:B),"")</f>
        <v/>
      </c>
    </row>
    <row r="159" spans="1:15">
      <c r="A159" s="56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81" t="str">
        <f>IFERROR(LOOKUP(N:N,CODIGOS!A:A,CODIGOS!B:B),"")</f>
        <v/>
      </c>
    </row>
    <row r="160" spans="1:15">
      <c r="A160" s="56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81" t="str">
        <f>IFERROR(LOOKUP(N:N,CODIGOS!A:A,CODIGOS!B:B),"")</f>
        <v/>
      </c>
    </row>
    <row r="161" spans="1:15">
      <c r="A161" s="56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81" t="str">
        <f>IFERROR(LOOKUP(N:N,CODIGOS!A:A,CODIGOS!B:B),"")</f>
        <v/>
      </c>
    </row>
    <row r="162" spans="1:15">
      <c r="A162" s="56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81" t="str">
        <f>IFERROR(LOOKUP(N:N,CODIGOS!A:A,CODIGOS!B:B),"")</f>
        <v/>
      </c>
    </row>
    <row r="163" spans="1:15">
      <c r="A163" s="56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81" t="str">
        <f>IFERROR(LOOKUP(N:N,CODIGOS!A:A,CODIGOS!B:B),"")</f>
        <v/>
      </c>
    </row>
    <row r="164" spans="1:15">
      <c r="A164" s="56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81" t="str">
        <f>IFERROR(LOOKUP(N:N,CODIGOS!A:A,CODIGOS!B:B),"")</f>
        <v/>
      </c>
    </row>
    <row r="165" spans="1:15">
      <c r="A165" s="56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81" t="str">
        <f>IFERROR(LOOKUP(N:N,CODIGOS!A:A,CODIGOS!B:B),"")</f>
        <v/>
      </c>
    </row>
    <row r="166" spans="1:15">
      <c r="A166" s="56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81" t="str">
        <f>IFERROR(LOOKUP(N:N,CODIGOS!A:A,CODIGOS!B:B),"")</f>
        <v/>
      </c>
    </row>
    <row r="167" spans="1:15">
      <c r="A167" s="56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81" t="str">
        <f>IFERROR(LOOKUP(N:N,CODIGOS!A:A,CODIGOS!B:B),"")</f>
        <v/>
      </c>
    </row>
    <row r="168" spans="1:15">
      <c r="A168" s="56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81" t="str">
        <f>IFERROR(LOOKUP(N:N,CODIGOS!A:A,CODIGOS!B:B),"")</f>
        <v/>
      </c>
    </row>
    <row r="169" spans="1:15">
      <c r="A169" s="56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81" t="str">
        <f>IFERROR(LOOKUP(N:N,CODIGOS!A:A,CODIGOS!B:B),"")</f>
        <v/>
      </c>
    </row>
    <row r="170" spans="1:15">
      <c r="A170" s="56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81" t="str">
        <f>IFERROR(LOOKUP(N:N,CODIGOS!A:A,CODIGOS!B:B),"")</f>
        <v/>
      </c>
    </row>
    <row r="171" spans="1:15">
      <c r="A171" s="56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81" t="str">
        <f>IFERROR(LOOKUP(N:N,CODIGOS!A:A,CODIGOS!B:B),"")</f>
        <v/>
      </c>
    </row>
    <row r="172" spans="1:15">
      <c r="A172" s="56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81" t="str">
        <f>IFERROR(LOOKUP(N:N,CODIGOS!A:A,CODIGOS!B:B),"")</f>
        <v/>
      </c>
    </row>
    <row r="173" spans="1:15">
      <c r="A173" s="56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81" t="str">
        <f>IFERROR(LOOKUP(N:N,CODIGOS!A:A,CODIGOS!B:B),"")</f>
        <v/>
      </c>
    </row>
    <row r="174" spans="1:15">
      <c r="A174" s="56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81" t="str">
        <f>IFERROR(LOOKUP(N:N,CODIGOS!A:A,CODIGOS!B:B),"")</f>
        <v/>
      </c>
    </row>
    <row r="175" spans="1:15">
      <c r="A175" s="56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81" t="str">
        <f>IFERROR(LOOKUP(N:N,CODIGOS!A:A,CODIGOS!B:B),"")</f>
        <v/>
      </c>
    </row>
    <row r="176" spans="1:15">
      <c r="A176" s="56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81" t="str">
        <f>IFERROR(LOOKUP(N:N,CODIGOS!A:A,CODIGOS!B:B),"")</f>
        <v/>
      </c>
    </row>
    <row r="177" spans="1:15">
      <c r="A177" s="56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81" t="str">
        <f>IFERROR(LOOKUP(N:N,CODIGOS!A:A,CODIGOS!B:B),"")</f>
        <v/>
      </c>
    </row>
    <row r="178" spans="1:15">
      <c r="A178" s="56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81" t="str">
        <f>IFERROR(LOOKUP(N:N,CODIGOS!A:A,CODIGOS!B:B),"")</f>
        <v/>
      </c>
    </row>
    <row r="179" spans="1:15">
      <c r="A179" s="56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81" t="str">
        <f>IFERROR(LOOKUP(N:N,CODIGOS!A:A,CODIGOS!B:B),"")</f>
        <v/>
      </c>
    </row>
    <row r="180" spans="1:15">
      <c r="A180" s="56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81" t="str">
        <f>IFERROR(LOOKUP(N:N,CODIGOS!A:A,CODIGOS!B:B),"")</f>
        <v/>
      </c>
    </row>
    <row r="181" spans="1:15">
      <c r="A181" s="56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81" t="str">
        <f>IFERROR(LOOKUP(N:N,CODIGOS!A:A,CODIGOS!B:B),"")</f>
        <v/>
      </c>
    </row>
    <row r="182" spans="1:15">
      <c r="A182" s="56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81" t="str">
        <f>IFERROR(LOOKUP(N:N,CODIGOS!A:A,CODIGOS!B:B),"")</f>
        <v/>
      </c>
    </row>
    <row r="183" spans="1:15">
      <c r="A183" s="56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81" t="str">
        <f>IFERROR(LOOKUP(N:N,CODIGOS!A:A,CODIGOS!B:B),"")</f>
        <v/>
      </c>
    </row>
    <row r="184" spans="1:15">
      <c r="A184" s="56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81" t="str">
        <f>IFERROR(LOOKUP(N:N,CODIGOS!A:A,CODIGOS!B:B),"")</f>
        <v/>
      </c>
    </row>
    <row r="185" spans="1:15">
      <c r="A185" s="56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81" t="str">
        <f>IFERROR(LOOKUP(N:N,CODIGOS!A:A,CODIGOS!B:B),"")</f>
        <v/>
      </c>
    </row>
    <row r="186" spans="1:15">
      <c r="A186" s="56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81" t="str">
        <f>IFERROR(LOOKUP(N:N,CODIGOS!A:A,CODIGOS!B:B),"")</f>
        <v/>
      </c>
    </row>
    <row r="187" spans="1:15">
      <c r="A187" s="56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81" t="str">
        <f>IFERROR(LOOKUP(N:N,CODIGOS!A:A,CODIGOS!B:B),"")</f>
        <v/>
      </c>
    </row>
    <row r="188" spans="1:15">
      <c r="A188" s="56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81" t="str">
        <f>IFERROR(LOOKUP(N:N,CODIGOS!A:A,CODIGOS!B:B),"")</f>
        <v/>
      </c>
    </row>
    <row r="189" spans="1:15">
      <c r="A189" s="56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81" t="str">
        <f>IFERROR(LOOKUP(N:N,CODIGOS!A:A,CODIGOS!B:B),"")</f>
        <v/>
      </c>
    </row>
    <row r="190" spans="1:15">
      <c r="A190" s="56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81" t="str">
        <f>IFERROR(LOOKUP(N:N,CODIGOS!A:A,CODIGOS!B:B),"")</f>
        <v/>
      </c>
    </row>
    <row r="191" spans="1:15">
      <c r="A191" s="56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81" t="str">
        <f>IFERROR(LOOKUP(N:N,CODIGOS!A:A,CODIGOS!B:B),"")</f>
        <v/>
      </c>
    </row>
    <row r="192" spans="1:15">
      <c r="A192" s="56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81" t="str">
        <f>IFERROR(LOOKUP(N:N,CODIGOS!A:A,CODIGOS!B:B),"")</f>
        <v/>
      </c>
    </row>
    <row r="193" spans="1:15">
      <c r="A193" s="56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81" t="str">
        <f>IFERROR(LOOKUP(N:N,CODIGOS!A:A,CODIGOS!B:B),"")</f>
        <v/>
      </c>
    </row>
    <row r="194" spans="1:15">
      <c r="A194" s="56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81" t="str">
        <f>IFERROR(LOOKUP(N:N,CODIGOS!A:A,CODIGOS!B:B),"")</f>
        <v/>
      </c>
    </row>
    <row r="195" spans="1:15">
      <c r="A195" s="56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81" t="str">
        <f>IFERROR(LOOKUP(N:N,CODIGOS!A:A,CODIGOS!B:B),"")</f>
        <v/>
      </c>
    </row>
    <row r="196" spans="1:15">
      <c r="A196" s="56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81" t="str">
        <f>IFERROR(LOOKUP(N:N,CODIGOS!A:A,CODIGOS!B:B),"")</f>
        <v/>
      </c>
    </row>
    <row r="197" spans="1:15">
      <c r="A197" s="56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81" t="str">
        <f>IFERROR(LOOKUP(N:N,CODIGOS!A:A,CODIGOS!B:B),"")</f>
        <v/>
      </c>
    </row>
    <row r="198" spans="1:15">
      <c r="A198" s="56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81" t="str">
        <f>IFERROR(LOOKUP(N:N,CODIGOS!A:A,CODIGOS!B:B),"")</f>
        <v/>
      </c>
    </row>
    <row r="199" spans="1:15">
      <c r="A199" s="56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81" t="str">
        <f>IFERROR(LOOKUP(N:N,CODIGOS!A:A,CODIGOS!B:B),"")</f>
        <v/>
      </c>
    </row>
    <row r="200" spans="1:15">
      <c r="A200" s="56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81" t="str">
        <f>IFERROR(LOOKUP(N:N,CODIGOS!A:A,CODIGOS!B:B),"")</f>
        <v/>
      </c>
    </row>
    <row r="201" spans="1:15">
      <c r="A201" s="56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81" t="str">
        <f>IFERROR(LOOKUP(N:N,CODIGOS!A:A,CODIGOS!B:B),"")</f>
        <v/>
      </c>
    </row>
    <row r="202" spans="1:15">
      <c r="A202" s="56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81" t="str">
        <f>IFERROR(LOOKUP(N:N,CODIGOS!A:A,CODIGOS!B:B),"")</f>
        <v/>
      </c>
    </row>
    <row r="203" spans="1:15">
      <c r="A203" s="56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81" t="str">
        <f>IFERROR(LOOKUP(N:N,CODIGOS!A:A,CODIGOS!B:B),"")</f>
        <v/>
      </c>
    </row>
    <row r="204" spans="1:15">
      <c r="A204" s="56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81" t="str">
        <f>IFERROR(LOOKUP(N:N,CODIGOS!A:A,CODIGOS!B:B),"")</f>
        <v/>
      </c>
    </row>
    <row r="205" spans="1:15">
      <c r="A205" s="56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81" t="str">
        <f>IFERROR(LOOKUP(N:N,CODIGOS!A:A,CODIGOS!B:B),"")</f>
        <v/>
      </c>
    </row>
    <row r="206" spans="1:15">
      <c r="A206" s="56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81" t="str">
        <f>IFERROR(LOOKUP(N:N,CODIGOS!A:A,CODIGOS!B:B),"")</f>
        <v/>
      </c>
    </row>
    <row r="207" spans="1:15">
      <c r="A207" s="56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81" t="str">
        <f>IFERROR(LOOKUP(N:N,CODIGOS!A:A,CODIGOS!B:B),"")</f>
        <v/>
      </c>
    </row>
    <row r="208" spans="1:15">
      <c r="A208" s="56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81" t="str">
        <f>IFERROR(LOOKUP(N:N,CODIGOS!A:A,CODIGOS!B:B),"")</f>
        <v/>
      </c>
    </row>
    <row r="209" spans="1:15">
      <c r="A209" s="56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81" t="str">
        <f>IFERROR(LOOKUP(N:N,CODIGOS!A:A,CODIGOS!B:B),"")</f>
        <v/>
      </c>
    </row>
    <row r="210" spans="1:15">
      <c r="A210" s="56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81" t="str">
        <f>IFERROR(LOOKUP(N:N,CODIGOS!A:A,CODIGOS!B:B),"")</f>
        <v/>
      </c>
    </row>
    <row r="211" spans="1:15">
      <c r="A211" s="56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81" t="str">
        <f>IFERROR(LOOKUP(N:N,CODIGOS!A:A,CODIGOS!B:B),"")</f>
        <v/>
      </c>
    </row>
    <row r="212" spans="1:15">
      <c r="A212" s="56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81" t="str">
        <f>IFERROR(LOOKUP(N:N,CODIGOS!A:A,CODIGOS!B:B),"")</f>
        <v/>
      </c>
    </row>
    <row r="213" spans="1:15">
      <c r="A213" s="56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81" t="str">
        <f>IFERROR(LOOKUP(N:N,CODIGOS!A:A,CODIGOS!B:B),"")</f>
        <v/>
      </c>
    </row>
    <row r="214" spans="1:15">
      <c r="A214" s="56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81" t="str">
        <f>IFERROR(LOOKUP(N:N,CODIGOS!A:A,CODIGOS!B:B),"")</f>
        <v/>
      </c>
    </row>
    <row r="215" spans="1:15">
      <c r="A215" s="56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81" t="str">
        <f>IFERROR(LOOKUP(N:N,CODIGOS!A:A,CODIGOS!B:B),"")</f>
        <v/>
      </c>
    </row>
    <row r="216" spans="1:15">
      <c r="A216" s="56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81" t="str">
        <f>IFERROR(LOOKUP(N:N,CODIGOS!A:A,CODIGOS!B:B),"")</f>
        <v/>
      </c>
    </row>
    <row r="217" spans="1:15">
      <c r="A217" s="56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81" t="str">
        <f>IFERROR(LOOKUP(N:N,CODIGOS!A:A,CODIGOS!B:B),"")</f>
        <v/>
      </c>
    </row>
    <row r="218" spans="1:15">
      <c r="A218" s="56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81" t="str">
        <f>IFERROR(LOOKUP(N:N,CODIGOS!A:A,CODIGOS!B:B),"")</f>
        <v/>
      </c>
    </row>
    <row r="219" spans="1:15">
      <c r="A219" s="56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81" t="str">
        <f>IFERROR(LOOKUP(N:N,CODIGOS!A:A,CODIGOS!B:B),"")</f>
        <v/>
      </c>
    </row>
    <row r="220" spans="1:15">
      <c r="A220" s="56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81" t="str">
        <f>IFERROR(LOOKUP(N:N,CODIGOS!A:A,CODIGOS!B:B),"")</f>
        <v/>
      </c>
    </row>
    <row r="221" spans="1:15">
      <c r="A221" s="56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81" t="str">
        <f>IFERROR(LOOKUP(N:N,CODIGOS!A:A,CODIGOS!B:B),"")</f>
        <v/>
      </c>
    </row>
    <row r="222" spans="1:15">
      <c r="A222" s="56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81" t="str">
        <f>IFERROR(LOOKUP(N:N,CODIGOS!A:A,CODIGOS!B:B),"")</f>
        <v/>
      </c>
    </row>
    <row r="223" spans="1:15">
      <c r="A223" s="56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81" t="str">
        <f>IFERROR(LOOKUP(N:N,CODIGOS!A:A,CODIGOS!B:B),"")</f>
        <v/>
      </c>
    </row>
    <row r="224" spans="1:15">
      <c r="A224" s="56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81" t="str">
        <f>IFERROR(LOOKUP(N:N,CODIGOS!A:A,CODIGOS!B:B),"")</f>
        <v/>
      </c>
    </row>
    <row r="225" spans="1:15">
      <c r="A225" s="56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81" t="str">
        <f>IFERROR(LOOKUP(N:N,CODIGOS!A:A,CODIGOS!B:B),"")</f>
        <v/>
      </c>
    </row>
    <row r="226" spans="1:15">
      <c r="A226" s="56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81" t="str">
        <f>IFERROR(LOOKUP(N:N,CODIGOS!A:A,CODIGOS!B:B),"")</f>
        <v/>
      </c>
    </row>
    <row r="227" spans="1:15">
      <c r="A227" s="56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81" t="str">
        <f>IFERROR(LOOKUP(N:N,CODIGOS!A:A,CODIGOS!B:B),"")</f>
        <v/>
      </c>
    </row>
    <row r="228" spans="1:15">
      <c r="A228" s="56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81" t="str">
        <f>IFERROR(LOOKUP(N:N,CODIGOS!A:A,CODIGOS!B:B),"")</f>
        <v/>
      </c>
    </row>
    <row r="229" spans="1:15">
      <c r="A229" s="56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81" t="str">
        <f>IFERROR(LOOKUP(N:N,CODIGOS!A:A,CODIGOS!B:B),"")</f>
        <v/>
      </c>
    </row>
    <row r="230" spans="1:15">
      <c r="A230" s="56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81" t="str">
        <f>IFERROR(LOOKUP(N:N,CODIGOS!A:A,CODIGOS!B:B),"")</f>
        <v/>
      </c>
    </row>
    <row r="231" spans="1:15">
      <c r="A231" s="56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81" t="str">
        <f>IFERROR(LOOKUP(N:N,CODIGOS!A:A,CODIGOS!B:B),"")</f>
        <v/>
      </c>
    </row>
    <row r="232" spans="1:15">
      <c r="A232" s="56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81" t="str">
        <f>IFERROR(LOOKUP(N:N,CODIGOS!A:A,CODIGOS!B:B),"")</f>
        <v/>
      </c>
    </row>
    <row r="233" spans="1:15">
      <c r="A233" s="56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81" t="str">
        <f>IFERROR(LOOKUP(N:N,CODIGOS!A:A,CODIGOS!B:B),"")</f>
        <v/>
      </c>
    </row>
    <row r="234" spans="1:15">
      <c r="A234" s="56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81" t="str">
        <f>IFERROR(LOOKUP(N:N,CODIGOS!A:A,CODIGOS!B:B),"")</f>
        <v/>
      </c>
    </row>
    <row r="235" spans="1:15">
      <c r="A235" s="56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81" t="str">
        <f>IFERROR(LOOKUP(N:N,CODIGOS!A:A,CODIGOS!B:B),"")</f>
        <v/>
      </c>
    </row>
    <row r="236" spans="1:15">
      <c r="A236" s="56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81" t="str">
        <f>IFERROR(LOOKUP(N:N,CODIGOS!A:A,CODIGOS!B:B),"")</f>
        <v/>
      </c>
    </row>
    <row r="237" spans="1:15">
      <c r="A237" s="56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81" t="str">
        <f>IFERROR(LOOKUP(N:N,CODIGOS!A:A,CODIGOS!B:B),"")</f>
        <v/>
      </c>
    </row>
    <row r="238" spans="1:15">
      <c r="A238" s="56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81" t="str">
        <f>IFERROR(LOOKUP(N:N,CODIGOS!A:A,CODIGOS!B:B),"")</f>
        <v/>
      </c>
    </row>
  </sheetData>
  <mergeCells count="3">
    <mergeCell ref="A1:I1"/>
    <mergeCell ref="J1:M1"/>
    <mergeCell ref="N1:O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DAFDB-FCAE-4B55-98DA-8630FA972098}">
  <sheetPr>
    <tabColor rgb="FFFFFF00"/>
  </sheetPr>
  <dimension ref="A1"/>
  <sheetViews>
    <sheetView workbookViewId="0">
      <selection activeCell="H15" sqref="H15"/>
    </sheetView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3</vt:i4>
      </vt:variant>
    </vt:vector>
  </HeadingPairs>
  <TitlesOfParts>
    <vt:vector size="12" baseType="lpstr">
      <vt:lpstr>DIARIO 2023</vt:lpstr>
      <vt:lpstr>DIARIO 2026</vt:lpstr>
      <vt:lpstr>Hoja1</vt:lpstr>
      <vt:lpstr>SOCIOS</vt:lpstr>
      <vt:lpstr>SOCIO</vt:lpstr>
      <vt:lpstr>RECIBO</vt:lpstr>
      <vt:lpstr>CODIGOS</vt:lpstr>
      <vt:lpstr>FACTURAS</vt:lpstr>
      <vt:lpstr>ACREED</vt:lpstr>
      <vt:lpstr>'DIARIO 2023'!Área_de_impresión</vt:lpstr>
      <vt:lpstr>'DIARIO 2026'!Área_de_impresión</vt:lpstr>
      <vt:lpstr>RECIBO!Área_de_impresión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ramos rivas</dc:creator>
  <cp:lastModifiedBy>ÁLVARO RAMOS RIVAS</cp:lastModifiedBy>
  <cp:lastPrinted>2026-02-18T19:09:02Z</cp:lastPrinted>
  <dcterms:created xsi:type="dcterms:W3CDTF">2023-09-25T15:13:00Z</dcterms:created>
  <dcterms:modified xsi:type="dcterms:W3CDTF">2026-02-19T10:15:32Z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E2175A9BDC7545E08F4A82BC66C8CC37_13</vt:lpwstr>
  </property>
  <property fmtid="{D5CDD505-2E9C-101B-9397-08002B2CF9AE}" pid="3" name="KSOProductBuildVer">
    <vt:lpwstr>3082-12.2.0.13359</vt:lpwstr>
  </property>
</Properties>
</file>